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ondsen" sheetId="2" state="visible" r:id="rId2"/>
    <sheet name="Investeringen" sheetId="3" state="visible" r:id="rId3"/>
    <sheet name="Rondes" sheetId="4" state="visible" r:id="rId4"/>
    <sheet name="Portefeuillebedrijven" sheetId="5" state="visible" r:id="rId5"/>
    <sheet name="Dekking" sheetId="6" state="visible" r:id="rId6"/>
    <sheet name="Bronnen" sheetId="7" state="visible" r:id="rId7"/>
    <sheet name="Conflicten" sheetId="8" state="visible" r:id="rId8"/>
    <sheet name="Onbekend" sheetId="9" state="visible" r:id="rId9"/>
    <sheet name="Aliases" sheetId="10" state="visible" r:id="rId10"/>
  </sheets>
  <definedNames>
    <definedName name="_xlnm._FilterDatabase" localSheetId="7" hidden="1">'Conflicten'!$A$1:$J$2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ondsen" displayName="Fondsen"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eringen" displayName="Investeringen" ref="A1:AL32" headerRowCount="1">
  <autoFilter ref="A1:AL32"/>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ndes" displayName="Rondes" ref="A1:O32" headerRowCount="1">
  <autoFilter ref="A1:O32"/>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efeuillebedrijven" displayName="Portefeuillebedrijven" ref="A1:L27" headerRowCount="1">
  <autoFilter ref="A1:L27"/>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Dekking" displayName="Dekking"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Bronnen" displayName="Bronnen" ref="A1:E61" headerRowCount="1">
  <autoFilter ref="A1:E61"/>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Onbekend" displayName="Onbekend" ref="A1:G5" headerRowCount="1">
  <autoFilter ref="A1:G5"/>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semantic.vc/" TargetMode="External" Id="rId1" /><Relationship Type="http://schemas.openxmlformats.org/officeDocument/2006/relationships/hyperlink" Target="https://crypto-fundraising.info/funds/semantic-ventures/" TargetMode="External" Id="rId2" /><Relationship Type="http://schemas.openxmlformats.org/officeDocument/2006/relationships/hyperlink" Target="https://cryptorank.io/funds/semantic-ventures/portfolio" TargetMode="External" Id="rId3" /><Relationship Type="http://schemas.openxmlformats.org/officeDocument/2006/relationships/table" Target="/xl/tables/table1.xml" Id="rId4" /></Relationships>
</file>

<file path=xl/worksheets/_rels/sheet3.xml.rels><Relationships xmlns="http://schemas.openxmlformats.org/package/2006/relationships"><Relationship Type="http://schemas.openxmlformats.org/officeDocument/2006/relationships/hyperlink" Target="https://www.coindesk.com/markets/2018/03/07/messari-raises-seed-funding-for-ico-answer-to-edgar/" TargetMode="External" Id="rId1" /><Relationship Type="http://schemas.openxmlformats.org/officeDocument/2006/relationships/hyperlink" Target="https://crypto-fundraising.info/projects/messari/" TargetMode="External" Id="rId2" /><Relationship Type="http://schemas.openxmlformats.org/officeDocument/2006/relationships/hyperlink" Target="https://marketexclusive.com/israeli-blockchain-startup-starkware-raises-30-million-in-series-a-round-with-funding-from-coinbase-intel-capital/2018/10/" TargetMode="External" Id="rId3" /><Relationship Type="http://schemas.openxmlformats.org/officeDocument/2006/relationships/hyperlink" Target="https://crypto-fundraising.info/projects/starknet/" TargetMode="External" Id="rId4" /><Relationship Type="http://schemas.openxmlformats.org/officeDocument/2006/relationships/hyperlink" Target="https://medium.com/centrifuge/further-acceleration-in-centrifuges-journey-cac316e0d0b2" TargetMode="External" Id="rId5" /><Relationship Type="http://schemas.openxmlformats.org/officeDocument/2006/relationships/hyperlink" Target="https://crypto-fundraising.info/projects/centrifuge/" TargetMode="External" Id="rId6" /><Relationship Type="http://schemas.openxmlformats.org/officeDocument/2006/relationships/hyperlink" Target="https://medium.com/sorare/our-next-chapter-sorare-raises-a-4m-seed-round-led-by-e-ventures-b8e615bce191" TargetMode="External" Id="rId7" /><Relationship Type="http://schemas.openxmlformats.org/officeDocument/2006/relationships/hyperlink" Target="https://crypto-fundraising.info/projects/sorare/" TargetMode="External" Id="rId8" /><Relationship Type="http://schemas.openxmlformats.org/officeDocument/2006/relationships/hyperlink" Target="https://edition.async.art/blog/funding-secured" TargetMode="External" Id="rId9" /><Relationship Type="http://schemas.openxmlformats.org/officeDocument/2006/relationships/hyperlink" Target="https://crypto-fundraising.info/projects/async-art/" TargetMode="External" Id="rId10" /><Relationship Type="http://schemas.openxmlformats.org/officeDocument/2006/relationships/hyperlink" Target="https://medium.com/babylon-finance/announcing-babl-8f41b58c52c5" TargetMode="External" Id="rId11" /><Relationship Type="http://schemas.openxmlformats.org/officeDocument/2006/relationships/hyperlink" Target="https://crypto-fundraising.info/projects/babylon-finance/" TargetMode="External" Id="rId12" /><Relationship Type="http://schemas.openxmlformats.org/officeDocument/2006/relationships/hyperlink" Target="https://twitter.com/certorainc/status/1395765638765940739?s=21" TargetMode="External" Id="rId13" /><Relationship Type="http://schemas.openxmlformats.org/officeDocument/2006/relationships/hyperlink" Target="https://crypto-fundraising.info/projects/certora/" TargetMode="External" Id="rId14" /><Relationship Type="http://schemas.openxmlformats.org/officeDocument/2006/relationships/hyperlink" Target="https://medium.com/superfluid-blog/superfluid-raises-9m-to-build-the-real-time-finance-economy-988ed538def1" TargetMode="External" Id="rId15" /><Relationship Type="http://schemas.openxmlformats.org/officeDocument/2006/relationships/hyperlink" Target="https://crypto-fundraising.info/projects/superfluid/" TargetMode="External" Id="rId16" /><Relationship Type="http://schemas.openxmlformats.org/officeDocument/2006/relationships/hyperlink" Target="https://medium.com/paladin-protocol/championing-open-activism-in-decentralized-governance-the-seed-of-paladins-ecosystem-3f6faed60944" TargetMode="External" Id="rId17" /><Relationship Type="http://schemas.openxmlformats.org/officeDocument/2006/relationships/hyperlink" Target="https://crypto-fundraising.info/projects/paladin/" TargetMode="External" Id="rId18" /><Relationship Type="http://schemas.openxmlformats.org/officeDocument/2006/relationships/hyperlink" Target="https://tech.eu/brief/institutional-investor-crypto-trading-platform-sheeldmarket-raises-10-million/" TargetMode="External" Id="rId19" /><Relationship Type="http://schemas.openxmlformats.org/officeDocument/2006/relationships/hyperlink" Target="https://crypto-fundraising.info/projects/aplo/" TargetMode="External" Id="rId20" /><Relationship Type="http://schemas.openxmlformats.org/officeDocument/2006/relationships/hyperlink" Target="https://medium.com/morpho-labs/introducing-morpho-93653ed83fba" TargetMode="External" Id="rId21" /><Relationship Type="http://schemas.openxmlformats.org/officeDocument/2006/relationships/hyperlink" Target="https://crypto-fundraising.info/projects/morpho/" TargetMode="External" Id="rId22" /><Relationship Type="http://schemas.openxmlformats.org/officeDocument/2006/relationships/hyperlink" Target="https://medium.com/walletconnect/walletconnect-raises-11m-to-build-out-the-messaging-layer-for-web3-740a185bf861" TargetMode="External" Id="rId23" /><Relationship Type="http://schemas.openxmlformats.org/officeDocument/2006/relationships/hyperlink" Target="https://crypto-fundraising.info/projects/walletconnect/" TargetMode="External" Id="rId24" /><Relationship Type="http://schemas.openxmlformats.org/officeDocument/2006/relationships/hyperlink" Target="https://www.coindesk.com/business/2022/04/13/dfns-raises-135m-to-build-out-password-protection-for-crypto-wallets/" TargetMode="External" Id="rId25" /><Relationship Type="http://schemas.openxmlformats.org/officeDocument/2006/relationships/hyperlink" Target="https://crypto-fundraising.info/projects/dfns/" TargetMode="External" Id="rId26" /><Relationship Type="http://schemas.openxmlformats.org/officeDocument/2006/relationships/hyperlink" Target="https://techcrunch.com/2022/05/03/cheq-hopes-an-easy-to-use-app-for-stablecoins-will-appeal-to-inflation-wracked-countries/" TargetMode="External" Id="rId27" /><Relationship Type="http://schemas.openxmlformats.org/officeDocument/2006/relationships/hyperlink" Target="https://crypto-fundraising.info/projects/cheq/" TargetMode="External" Id="rId28" /><Relationship Type="http://schemas.openxmlformats.org/officeDocument/2006/relationships/hyperlink" Target="https://www.theblock.co/post/157089/a16z-and-variant-lead-18-million-round-into-defi-lending-protocol-morpho" TargetMode="External" Id="rId29" /><Relationship Type="http://schemas.openxmlformats.org/officeDocument/2006/relationships/hyperlink" Target="https://crypto-fundraising.info/projects/morpho/" TargetMode="External" Id="rId30" /><Relationship Type="http://schemas.openxmlformats.org/officeDocument/2006/relationships/hyperlink" Target="https://mirror.xyz/ratedw3b.eth/d27q8fhLvfW1a_cwJf8S4rjrOT2_kX3mmMrTmMvB4wc" TargetMode="External" Id="rId31" /><Relationship Type="http://schemas.openxmlformats.org/officeDocument/2006/relationships/hyperlink" Target="https://crypto-fundraising.info/projects/rated/" TargetMode="External" Id="rId32" /><Relationship Type="http://schemas.openxmlformats.org/officeDocument/2006/relationships/hyperlink" Target="https://siliconangle.com/2022/10/12/valory-raises-4m-unlock-software-driven-autonomy-blockchain-apps/" TargetMode="External" Id="rId33" /><Relationship Type="http://schemas.openxmlformats.org/officeDocument/2006/relationships/hyperlink" Target="https://crypto-fundraising.info/projects/valory/" TargetMode="External" Id="rId34" /><Relationship Type="http://schemas.openxmlformats.org/officeDocument/2006/relationships/hyperlink" Target="https://www.theblock.co/post/182729/solana-yield-manager-texture-raises-5-million-enters-private-beta" TargetMode="External" Id="rId35" /><Relationship Type="http://schemas.openxmlformats.org/officeDocument/2006/relationships/hyperlink" Target="https://crypto-fundraising.info/projects/texture/" TargetMode="External" Id="rId36" /><Relationship Type="http://schemas.openxmlformats.org/officeDocument/2006/relationships/hyperlink" Target="https://www.coindesk.com/business/2023/06/21/binance-labs-coinfund-lead-10m-round-for-smart-contract-infrastructure-firm-neutron/" TargetMode="External" Id="rId37" /><Relationship Type="http://schemas.openxmlformats.org/officeDocument/2006/relationships/hyperlink" Target="https://crypto-fundraising.info/projects/neutron/" TargetMode="External" Id="rId38" /><Relationship Type="http://schemas.openxmlformats.org/officeDocument/2006/relationships/hyperlink" Target="https://twitter.com/ratedw3b/status/1707020071355425149" TargetMode="External" Id="rId39" /><Relationship Type="http://schemas.openxmlformats.org/officeDocument/2006/relationships/hyperlink" Target="https://crypto-fundraising.info/projects/rated/" TargetMode="External" Id="rId40" /><Relationship Type="http://schemas.openxmlformats.org/officeDocument/2006/relationships/hyperlink" Target="https://twitter.com/TheBlock__/status/1721799948893626393" TargetMode="External" Id="rId41" /><Relationship Type="http://schemas.openxmlformats.org/officeDocument/2006/relationships/hyperlink" Target="https://crypto-fundraising.info/projects/due/" TargetMode="External" Id="rId42" /><Relationship Type="http://schemas.openxmlformats.org/officeDocument/2006/relationships/hyperlink" Target="https://twitter.com/union_build/status/1725149230837190866" TargetMode="External" Id="rId43" /><Relationship Type="http://schemas.openxmlformats.org/officeDocument/2006/relationships/hyperlink" Target="https://crypto-fundraising.info/projects/union-labs/" TargetMode="External" Id="rId44" /><Relationship Type="http://schemas.openxmlformats.org/officeDocument/2006/relationships/hyperlink" Target="https://twitter.com/fence_finance/status/1726843615794868510" TargetMode="External" Id="rId45" /><Relationship Type="http://schemas.openxmlformats.org/officeDocument/2006/relationships/hyperlink" Target="https://crypto-fundraising.info/projects/fence/" TargetMode="External" Id="rId46" /><Relationship Type="http://schemas.openxmlformats.org/officeDocument/2006/relationships/hyperlink" Target="https://www.theblock.co/post/291730/ex-revolut-exec-raises-6-5-million-usd-hybrid-crypto-exchange-x10" TargetMode="External" Id="rId47" /><Relationship Type="http://schemas.openxmlformats.org/officeDocument/2006/relationships/hyperlink" Target="https://crypto-fundraising.info/projects/x10/" TargetMode="External" Id="rId48" /><Relationship Type="http://schemas.openxmlformats.org/officeDocument/2006/relationships/hyperlink" Target="https://www.coindesk.com/business/2024/08/01/crypto-lending-firm-morpho-bags-50m-in-funding-round-led-by-ribbit-capital/" TargetMode="External" Id="rId49" /><Relationship Type="http://schemas.openxmlformats.org/officeDocument/2006/relationships/hyperlink" Target="https://crypto-fundraising.info/projects/morpho/" TargetMode="External" Id="rId50" /><Relationship Type="http://schemas.openxmlformats.org/officeDocument/2006/relationships/hyperlink" Target="https://x.com/chainbound_/status/1828047583090016308" TargetMode="External" Id="rId51" /><Relationship Type="http://schemas.openxmlformats.org/officeDocument/2006/relationships/hyperlink" Target="https://crypto-fundraising.info/projects/chainbound-bolt/" TargetMode="External" Id="rId52" /><Relationship Type="http://schemas.openxmlformats.org/officeDocument/2006/relationships/hyperlink" Target="https://x.com/valantislabs/status/1859285814821388325" TargetMode="External" Id="rId53" /><Relationship Type="http://schemas.openxmlformats.org/officeDocument/2006/relationships/hyperlink" Target="https://crypto-fundraising.info/projects/valantis-labs/" TargetMode="External" Id="rId54" /><Relationship Type="http://schemas.openxmlformats.org/officeDocument/2006/relationships/hyperlink" Target="https://x.com/dfnsHQ/status/1879173512750928058" TargetMode="External" Id="rId55" /><Relationship Type="http://schemas.openxmlformats.org/officeDocument/2006/relationships/hyperlink" Target="https://crypto-fundraising.info/projects/dfns/" TargetMode="External" Id="rId56" /><Relationship Type="http://schemas.openxmlformats.org/officeDocument/2006/relationships/hyperlink" Target="https://x.com/herd_eco/status/1886460827034902974" TargetMode="External" Id="rId57" /><Relationship Type="http://schemas.openxmlformats.org/officeDocument/2006/relationships/hyperlink" Target="https://crypto-fundraising.info/projects/herd/" TargetMode="External" Id="rId58" /><Relationship Type="http://schemas.openxmlformats.org/officeDocument/2006/relationships/hyperlink" Target="https://x.com/due_network/status/1950469044710043943" TargetMode="External" Id="rId59" /><Relationship Type="http://schemas.openxmlformats.org/officeDocument/2006/relationships/hyperlink" Target="https://crypto-fundraising.info/projects/due/" TargetMode="External" Id="rId60" /><Relationship Type="http://schemas.openxmlformats.org/officeDocument/2006/relationships/hyperlink" Target="https://x.com/Ryder_ID/status/1978773212260675814" TargetMode="External" Id="rId61" /><Relationship Type="http://schemas.openxmlformats.org/officeDocument/2006/relationships/hyperlink" Target="https://crypto-fundraising.info/projects/ryder/" TargetMode="External" Id="rId62" /><Relationship Type="http://schemas.openxmlformats.org/officeDocument/2006/relationships/table" Target="/xl/tables/table2.xml" Id="rId63" /></Relationships>
</file>

<file path=xl/worksheets/_rels/sheet4.xml.rels><Relationships xmlns="http://schemas.openxmlformats.org/package/2006/relationships"><Relationship Type="http://schemas.openxmlformats.org/officeDocument/2006/relationships/hyperlink" Target="https://www.coindesk.com/markets/2018/03/07/messari-raises-seed-funding-for-ico-answer-to-edgar/" TargetMode="External" Id="rId1" /><Relationship Type="http://schemas.openxmlformats.org/officeDocument/2006/relationships/hyperlink" Target="https://crypto-fundraising.info/projects/messari/" TargetMode="External" Id="rId2" /><Relationship Type="http://schemas.openxmlformats.org/officeDocument/2006/relationships/hyperlink" Target="https://marketexclusive.com/israeli-blockchain-startup-starkware-raises-30-million-in-series-a-round-with-funding-from-coinbase-intel-capital/2018/10/" TargetMode="External" Id="rId3" /><Relationship Type="http://schemas.openxmlformats.org/officeDocument/2006/relationships/hyperlink" Target="https://crypto-fundraising.info/projects/starknet/" TargetMode="External" Id="rId4" /><Relationship Type="http://schemas.openxmlformats.org/officeDocument/2006/relationships/hyperlink" Target="https://medium.com/centrifuge/further-acceleration-in-centrifuges-journey-cac316e0d0b2" TargetMode="External" Id="rId5" /><Relationship Type="http://schemas.openxmlformats.org/officeDocument/2006/relationships/hyperlink" Target="https://crypto-fundraising.info/projects/centrifuge/" TargetMode="External" Id="rId6" /><Relationship Type="http://schemas.openxmlformats.org/officeDocument/2006/relationships/hyperlink" Target="https://medium.com/sorare/our-next-chapter-sorare-raises-a-4m-seed-round-led-by-e-ventures-b8e615bce191" TargetMode="External" Id="rId7" /><Relationship Type="http://schemas.openxmlformats.org/officeDocument/2006/relationships/hyperlink" Target="https://crypto-fundraising.info/projects/sorare/" TargetMode="External" Id="rId8" /><Relationship Type="http://schemas.openxmlformats.org/officeDocument/2006/relationships/hyperlink" Target="https://edition.async.art/blog/funding-secured" TargetMode="External" Id="rId9" /><Relationship Type="http://schemas.openxmlformats.org/officeDocument/2006/relationships/hyperlink" Target="https://crypto-fundraising.info/projects/async-art/" TargetMode="External" Id="rId10" /><Relationship Type="http://schemas.openxmlformats.org/officeDocument/2006/relationships/hyperlink" Target="https://medium.com/babylon-finance/announcing-babl-8f41b58c52c5" TargetMode="External" Id="rId11" /><Relationship Type="http://schemas.openxmlformats.org/officeDocument/2006/relationships/hyperlink" Target="https://crypto-fundraising.info/projects/babylon-finance/" TargetMode="External" Id="rId12" /><Relationship Type="http://schemas.openxmlformats.org/officeDocument/2006/relationships/hyperlink" Target="https://twitter.com/certorainc/status/1395765638765940739?s=21" TargetMode="External" Id="rId13" /><Relationship Type="http://schemas.openxmlformats.org/officeDocument/2006/relationships/hyperlink" Target="https://crypto-fundraising.info/projects/certora/" TargetMode="External" Id="rId14" /><Relationship Type="http://schemas.openxmlformats.org/officeDocument/2006/relationships/hyperlink" Target="https://medium.com/superfluid-blog/superfluid-raises-9m-to-build-the-real-time-finance-economy-988ed538def1" TargetMode="External" Id="rId15" /><Relationship Type="http://schemas.openxmlformats.org/officeDocument/2006/relationships/hyperlink" Target="https://crypto-fundraising.info/projects/superfluid/" TargetMode="External" Id="rId16" /><Relationship Type="http://schemas.openxmlformats.org/officeDocument/2006/relationships/hyperlink" Target="https://medium.com/paladin-protocol/championing-open-activism-in-decentralized-governance-the-seed-of-paladins-ecosystem-3f6faed60944" TargetMode="External" Id="rId17" /><Relationship Type="http://schemas.openxmlformats.org/officeDocument/2006/relationships/hyperlink" Target="https://crypto-fundraising.info/projects/paladin/" TargetMode="External" Id="rId18" /><Relationship Type="http://schemas.openxmlformats.org/officeDocument/2006/relationships/hyperlink" Target="https://tech.eu/brief/institutional-investor-crypto-trading-platform-sheeldmarket-raises-10-million/" TargetMode="External" Id="rId19" /><Relationship Type="http://schemas.openxmlformats.org/officeDocument/2006/relationships/hyperlink" Target="https://crypto-fundraising.info/projects/aplo/" TargetMode="External" Id="rId20" /><Relationship Type="http://schemas.openxmlformats.org/officeDocument/2006/relationships/hyperlink" Target="https://medium.com/morpho-labs/introducing-morpho-93653ed83fba" TargetMode="External" Id="rId21" /><Relationship Type="http://schemas.openxmlformats.org/officeDocument/2006/relationships/hyperlink" Target="https://crypto-fundraising.info/projects/morpho/" TargetMode="External" Id="rId22" /><Relationship Type="http://schemas.openxmlformats.org/officeDocument/2006/relationships/hyperlink" Target="https://medium.com/walletconnect/walletconnect-raises-11m-to-build-out-the-messaging-layer-for-web3-740a185bf861" TargetMode="External" Id="rId23" /><Relationship Type="http://schemas.openxmlformats.org/officeDocument/2006/relationships/hyperlink" Target="https://crypto-fundraising.info/projects/walletconnect/" TargetMode="External" Id="rId24" /><Relationship Type="http://schemas.openxmlformats.org/officeDocument/2006/relationships/hyperlink" Target="https://www.coindesk.com/business/2022/04/13/dfns-raises-135m-to-build-out-password-protection-for-crypto-wallets/" TargetMode="External" Id="rId25" /><Relationship Type="http://schemas.openxmlformats.org/officeDocument/2006/relationships/hyperlink" Target="https://crypto-fundraising.info/projects/dfns/" TargetMode="External" Id="rId26" /><Relationship Type="http://schemas.openxmlformats.org/officeDocument/2006/relationships/hyperlink" Target="https://techcrunch.com/2022/05/03/cheq-hopes-an-easy-to-use-app-for-stablecoins-will-appeal-to-inflation-wracked-countries/" TargetMode="External" Id="rId27" /><Relationship Type="http://schemas.openxmlformats.org/officeDocument/2006/relationships/hyperlink" Target="https://crypto-fundraising.info/projects/cheq/" TargetMode="External" Id="rId28" /><Relationship Type="http://schemas.openxmlformats.org/officeDocument/2006/relationships/hyperlink" Target="https://www.theblock.co/post/157089/a16z-and-variant-lead-18-million-round-into-defi-lending-protocol-morpho" TargetMode="External" Id="rId29" /><Relationship Type="http://schemas.openxmlformats.org/officeDocument/2006/relationships/hyperlink" Target="https://crypto-fundraising.info/projects/morpho/" TargetMode="External" Id="rId30" /><Relationship Type="http://schemas.openxmlformats.org/officeDocument/2006/relationships/hyperlink" Target="https://mirror.xyz/ratedw3b.eth/d27q8fhLvfW1a_cwJf8S4rjrOT2_kX3mmMrTmMvB4wc" TargetMode="External" Id="rId31" /><Relationship Type="http://schemas.openxmlformats.org/officeDocument/2006/relationships/hyperlink" Target="https://crypto-fundraising.info/projects/rated/" TargetMode="External" Id="rId32" /><Relationship Type="http://schemas.openxmlformats.org/officeDocument/2006/relationships/hyperlink" Target="https://siliconangle.com/2022/10/12/valory-raises-4m-unlock-software-driven-autonomy-blockchain-apps/" TargetMode="External" Id="rId33" /><Relationship Type="http://schemas.openxmlformats.org/officeDocument/2006/relationships/hyperlink" Target="https://crypto-fundraising.info/projects/valory/" TargetMode="External" Id="rId34" /><Relationship Type="http://schemas.openxmlformats.org/officeDocument/2006/relationships/hyperlink" Target="https://www.theblock.co/post/182729/solana-yield-manager-texture-raises-5-million-enters-private-beta" TargetMode="External" Id="rId35" /><Relationship Type="http://schemas.openxmlformats.org/officeDocument/2006/relationships/hyperlink" Target="https://crypto-fundraising.info/projects/texture/" TargetMode="External" Id="rId36" /><Relationship Type="http://schemas.openxmlformats.org/officeDocument/2006/relationships/hyperlink" Target="https://www.coindesk.com/business/2023/06/21/binance-labs-coinfund-lead-10m-round-for-smart-contract-infrastructure-firm-neutron/" TargetMode="External" Id="rId37" /><Relationship Type="http://schemas.openxmlformats.org/officeDocument/2006/relationships/hyperlink" Target="https://crypto-fundraising.info/projects/neutron/" TargetMode="External" Id="rId38" /><Relationship Type="http://schemas.openxmlformats.org/officeDocument/2006/relationships/hyperlink" Target="https://twitter.com/ratedw3b/status/1707020071355425149" TargetMode="External" Id="rId39" /><Relationship Type="http://schemas.openxmlformats.org/officeDocument/2006/relationships/hyperlink" Target="https://crypto-fundraising.info/projects/rated/" TargetMode="External" Id="rId40" /><Relationship Type="http://schemas.openxmlformats.org/officeDocument/2006/relationships/hyperlink" Target="https://twitter.com/TheBlock__/status/1721799948893626393" TargetMode="External" Id="rId41" /><Relationship Type="http://schemas.openxmlformats.org/officeDocument/2006/relationships/hyperlink" Target="https://crypto-fundraising.info/projects/due/" TargetMode="External" Id="rId42" /><Relationship Type="http://schemas.openxmlformats.org/officeDocument/2006/relationships/hyperlink" Target="https://twitter.com/union_build/status/1725149230837190866" TargetMode="External" Id="rId43" /><Relationship Type="http://schemas.openxmlformats.org/officeDocument/2006/relationships/hyperlink" Target="https://crypto-fundraising.info/projects/union-labs/" TargetMode="External" Id="rId44" /><Relationship Type="http://schemas.openxmlformats.org/officeDocument/2006/relationships/hyperlink" Target="https://twitter.com/fence_finance/status/1726843615794868510" TargetMode="External" Id="rId45" /><Relationship Type="http://schemas.openxmlformats.org/officeDocument/2006/relationships/hyperlink" Target="https://crypto-fundraising.info/projects/fence/" TargetMode="External" Id="rId46" /><Relationship Type="http://schemas.openxmlformats.org/officeDocument/2006/relationships/hyperlink" Target="https://www.theblock.co/post/291730/ex-revolut-exec-raises-6-5-million-usd-hybrid-crypto-exchange-x10" TargetMode="External" Id="rId47" /><Relationship Type="http://schemas.openxmlformats.org/officeDocument/2006/relationships/hyperlink" Target="https://crypto-fundraising.info/projects/x10/" TargetMode="External" Id="rId48" /><Relationship Type="http://schemas.openxmlformats.org/officeDocument/2006/relationships/hyperlink" Target="https://www.coindesk.com/business/2024/08/01/crypto-lending-firm-morpho-bags-50m-in-funding-round-led-by-ribbit-capital/" TargetMode="External" Id="rId49" /><Relationship Type="http://schemas.openxmlformats.org/officeDocument/2006/relationships/hyperlink" Target="https://crypto-fundraising.info/projects/morpho/" TargetMode="External" Id="rId50" /><Relationship Type="http://schemas.openxmlformats.org/officeDocument/2006/relationships/hyperlink" Target="https://x.com/chainbound_/status/1828047583090016308" TargetMode="External" Id="rId51" /><Relationship Type="http://schemas.openxmlformats.org/officeDocument/2006/relationships/hyperlink" Target="https://crypto-fundraising.info/projects/chainbound-bolt/" TargetMode="External" Id="rId52" /><Relationship Type="http://schemas.openxmlformats.org/officeDocument/2006/relationships/hyperlink" Target="https://x.com/valantislabs/status/1859285814821388325" TargetMode="External" Id="rId53" /><Relationship Type="http://schemas.openxmlformats.org/officeDocument/2006/relationships/hyperlink" Target="https://crypto-fundraising.info/projects/valantis-labs/" TargetMode="External" Id="rId54" /><Relationship Type="http://schemas.openxmlformats.org/officeDocument/2006/relationships/hyperlink" Target="https://x.com/dfnsHQ/status/1879173512750928058" TargetMode="External" Id="rId55" /><Relationship Type="http://schemas.openxmlformats.org/officeDocument/2006/relationships/hyperlink" Target="https://crypto-fundraising.info/projects/dfns/" TargetMode="External" Id="rId56" /><Relationship Type="http://schemas.openxmlformats.org/officeDocument/2006/relationships/hyperlink" Target="https://x.com/herd_eco/status/1886460827034902974" TargetMode="External" Id="rId57" /><Relationship Type="http://schemas.openxmlformats.org/officeDocument/2006/relationships/hyperlink" Target="https://crypto-fundraising.info/projects/herd/" TargetMode="External" Id="rId58" /><Relationship Type="http://schemas.openxmlformats.org/officeDocument/2006/relationships/hyperlink" Target="https://x.com/due_network/status/1950469044710043943" TargetMode="External" Id="rId59" /><Relationship Type="http://schemas.openxmlformats.org/officeDocument/2006/relationships/hyperlink" Target="https://crypto-fundraising.info/projects/due/" TargetMode="External" Id="rId60" /><Relationship Type="http://schemas.openxmlformats.org/officeDocument/2006/relationships/hyperlink" Target="https://x.com/Ryder_ID/status/1978773212260675814" TargetMode="External" Id="rId61" /><Relationship Type="http://schemas.openxmlformats.org/officeDocument/2006/relationships/hyperlink" Target="https://crypto-fundraising.info/projects/ryder/" TargetMode="External" Id="rId62" /><Relationship Type="http://schemas.openxmlformats.org/officeDocument/2006/relationships/table" Target="/xl/tables/table3.xml" Id="rId63" /></Relationships>
</file>

<file path=xl/worksheets/_rels/sheet5.xml.rels><Relationships xmlns="http://schemas.openxmlformats.org/package/2006/relationships"><Relationship Type="http://schemas.openxmlformats.org/officeDocument/2006/relationships/hyperlink" Target="https://www.aplo.io/" TargetMode="External" Id="rId1" /><Relationship Type="http://schemas.openxmlformats.org/officeDocument/2006/relationships/hyperlink" Target="https://crypto-fundraising.info/projects/aplo/" TargetMode="External" Id="rId2" /><Relationship Type="http://schemas.openxmlformats.org/officeDocument/2006/relationships/hyperlink" Target="https://async.art/" TargetMode="External" Id="rId3" /><Relationship Type="http://schemas.openxmlformats.org/officeDocument/2006/relationships/hyperlink" Target="https://crypto-fundraising.info/projects/async-art/" TargetMode="External" Id="rId4" /><Relationship Type="http://schemas.openxmlformats.org/officeDocument/2006/relationships/hyperlink" Target="https://www.babylon.finance/" TargetMode="External" Id="rId5" /><Relationship Type="http://schemas.openxmlformats.org/officeDocument/2006/relationships/hyperlink" Target="https://crypto-fundraising.info/projects/babylon-finance/" TargetMode="External" Id="rId6" /><Relationship Type="http://schemas.openxmlformats.org/officeDocument/2006/relationships/hyperlink" Target="https://tinlake.centrifuge.io/" TargetMode="External" Id="rId7" /><Relationship Type="http://schemas.openxmlformats.org/officeDocument/2006/relationships/hyperlink" Target="https://crypto-fundraising.info/projects/centrifuge/" TargetMode="External" Id="rId8" /><Relationship Type="http://schemas.openxmlformats.org/officeDocument/2006/relationships/hyperlink" Target="https://www.certora.com/" TargetMode="External" Id="rId9" /><Relationship Type="http://schemas.openxmlformats.org/officeDocument/2006/relationships/hyperlink" Target="https://crypto-fundraising.info/projects/certora/" TargetMode="External" Id="rId10" /><Relationship Type="http://schemas.openxmlformats.org/officeDocument/2006/relationships/hyperlink" Target="https://boltprotocol.xyz/" TargetMode="External" Id="rId11" /><Relationship Type="http://schemas.openxmlformats.org/officeDocument/2006/relationships/hyperlink" Target="https://crypto-fundraising.info/projects/chainbound-bolt/" TargetMode="External" Id="rId12" /><Relationship Type="http://schemas.openxmlformats.org/officeDocument/2006/relationships/hyperlink" Target="https://cheq.xyz/" TargetMode="External" Id="rId13" /><Relationship Type="http://schemas.openxmlformats.org/officeDocument/2006/relationships/hyperlink" Target="https://crypto-fundraising.info/projects/cheq/" TargetMode="External" Id="rId14" /><Relationship Type="http://schemas.openxmlformats.org/officeDocument/2006/relationships/hyperlink" Target="https://www.dfns.co/" TargetMode="External" Id="rId15" /><Relationship Type="http://schemas.openxmlformats.org/officeDocument/2006/relationships/hyperlink" Target="https://crypto-fundraising.info/projects/dfns/" TargetMode="External" Id="rId16" /><Relationship Type="http://schemas.openxmlformats.org/officeDocument/2006/relationships/hyperlink" Target="https://www.opendue.com/" TargetMode="External" Id="rId17" /><Relationship Type="http://schemas.openxmlformats.org/officeDocument/2006/relationships/hyperlink" Target="https://crypto-fundraising.info/projects/due/" TargetMode="External" Id="rId18" /><Relationship Type="http://schemas.openxmlformats.org/officeDocument/2006/relationships/hyperlink" Target="https://www.fence.finance/" TargetMode="External" Id="rId19" /><Relationship Type="http://schemas.openxmlformats.org/officeDocument/2006/relationships/hyperlink" Target="https://crypto-fundraising.info/projects/fence/" TargetMode="External" Id="rId20" /><Relationship Type="http://schemas.openxmlformats.org/officeDocument/2006/relationships/hyperlink" Target="https://crypto-fundraising.info/projects/herd/" TargetMode="External" Id="rId21" /><Relationship Type="http://schemas.openxmlformats.org/officeDocument/2006/relationships/hyperlink" Target="https://messari.io/" TargetMode="External" Id="rId22" /><Relationship Type="http://schemas.openxmlformats.org/officeDocument/2006/relationships/hyperlink" Target="https://crypto-fundraising.info/projects/messari/" TargetMode="External" Id="rId23" /><Relationship Type="http://schemas.openxmlformats.org/officeDocument/2006/relationships/hyperlink" Target="https://whitepaper.morpho.xyz/" TargetMode="External" Id="rId24" /><Relationship Type="http://schemas.openxmlformats.org/officeDocument/2006/relationships/hyperlink" Target="https://crypto-fundraising.info/projects/morpho/" TargetMode="External" Id="rId25" /><Relationship Type="http://schemas.openxmlformats.org/officeDocument/2006/relationships/hyperlink" Target="https://docs.neutron.org/" TargetMode="External" Id="rId26" /><Relationship Type="http://schemas.openxmlformats.org/officeDocument/2006/relationships/hyperlink" Target="https://crypto-fundraising.info/projects/neutron/" TargetMode="External" Id="rId27" /><Relationship Type="http://schemas.openxmlformats.org/officeDocument/2006/relationships/hyperlink" Target="https://paladin.vote/#/" TargetMode="External" Id="rId28" /><Relationship Type="http://schemas.openxmlformats.org/officeDocument/2006/relationships/hyperlink" Target="https://crypto-fundraising.info/projects/paladin/" TargetMode="External" Id="rId29" /><Relationship Type="http://schemas.openxmlformats.org/officeDocument/2006/relationships/hyperlink" Target="https://docs.rated.network/getting-started/welcome" TargetMode="External" Id="rId30" /><Relationship Type="http://schemas.openxmlformats.org/officeDocument/2006/relationships/hyperlink" Target="https://crypto-fundraising.info/projects/rated/" TargetMode="External" Id="rId31" /><Relationship Type="http://schemas.openxmlformats.org/officeDocument/2006/relationships/hyperlink" Target="https://www.ryder.id/" TargetMode="External" Id="rId32" /><Relationship Type="http://schemas.openxmlformats.org/officeDocument/2006/relationships/hyperlink" Target="https://crypto-fundraising.info/projects/ryder/" TargetMode="External" Id="rId33" /><Relationship Type="http://schemas.openxmlformats.org/officeDocument/2006/relationships/hyperlink" Target="https://sorare.com/" TargetMode="External" Id="rId34" /><Relationship Type="http://schemas.openxmlformats.org/officeDocument/2006/relationships/hyperlink" Target="https://crypto-fundraising.info/projects/sorare/" TargetMode="External" Id="rId35" /><Relationship Type="http://schemas.openxmlformats.org/officeDocument/2006/relationships/hyperlink" Target="https://starkware.co/starknet/" TargetMode="External" Id="rId36" /><Relationship Type="http://schemas.openxmlformats.org/officeDocument/2006/relationships/hyperlink" Target="https://crypto-fundraising.info/projects/starknet/" TargetMode="External" Id="rId37" /><Relationship Type="http://schemas.openxmlformats.org/officeDocument/2006/relationships/hyperlink" Target="https://docs.superfluid.finance/" TargetMode="External" Id="rId38" /><Relationship Type="http://schemas.openxmlformats.org/officeDocument/2006/relationships/hyperlink" Target="https://crypto-fundraising.info/projects/superfluid/" TargetMode="External" Id="rId39" /><Relationship Type="http://schemas.openxmlformats.org/officeDocument/2006/relationships/hyperlink" Target="https://texture.gitbook.io/texture-finance/" TargetMode="External" Id="rId40" /><Relationship Type="http://schemas.openxmlformats.org/officeDocument/2006/relationships/hyperlink" Target="https://crypto-fundraising.info/projects/texture/" TargetMode="External" Id="rId41" /><Relationship Type="http://schemas.openxmlformats.org/officeDocument/2006/relationships/hyperlink" Target="https://docs.union.build/" TargetMode="External" Id="rId42" /><Relationship Type="http://schemas.openxmlformats.org/officeDocument/2006/relationships/hyperlink" Target="https://crypto-fundraising.info/projects/union-labs/" TargetMode="External" Id="rId43" /><Relationship Type="http://schemas.openxmlformats.org/officeDocument/2006/relationships/hyperlink" Target="https://crypto-fundraising.info/projects/valantis-labs/" TargetMode="External" Id="rId44" /><Relationship Type="http://schemas.openxmlformats.org/officeDocument/2006/relationships/hyperlink" Target="https://www.valory.xyz/" TargetMode="External" Id="rId45" /><Relationship Type="http://schemas.openxmlformats.org/officeDocument/2006/relationships/hyperlink" Target="https://crypto-fundraising.info/projects/valory/" TargetMode="External" Id="rId46" /><Relationship Type="http://schemas.openxmlformats.org/officeDocument/2006/relationships/hyperlink" Target="https://docs.reown.com/" TargetMode="External" Id="rId47" /><Relationship Type="http://schemas.openxmlformats.org/officeDocument/2006/relationships/hyperlink" Target="https://crypto-fundraising.info/projects/walletconnect/" TargetMode="External" Id="rId48" /><Relationship Type="http://schemas.openxmlformats.org/officeDocument/2006/relationships/hyperlink" Target="https://x10.exchange/" TargetMode="External" Id="rId49" /><Relationship Type="http://schemas.openxmlformats.org/officeDocument/2006/relationships/hyperlink" Target="https://crypto-fundraising.info/projects/x10/" TargetMode="External" Id="rId50" /><Relationship Type="http://schemas.openxmlformats.org/officeDocument/2006/relationships/table" Target="/xl/tables/table4.xml" Id="rId5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www.semantic.vc/" TargetMode="External" Id="rId1" /><Relationship Type="http://schemas.openxmlformats.org/officeDocument/2006/relationships/hyperlink" Target="https://edition.async.art/blog/funding-secured" TargetMode="External" Id="rId2" /><Relationship Type="http://schemas.openxmlformats.org/officeDocument/2006/relationships/hyperlink" Target="https://marketexclusive.com/israeli-blockchain-startup-starkware-raises-30-million-in-series-a-round-with-funding-from-coinbase-intel-capital/2018/10/" TargetMode="External" Id="rId3" /><Relationship Type="http://schemas.openxmlformats.org/officeDocument/2006/relationships/hyperlink" Target="https://medium.com/babylon-finance/announcing-babl-8f41b58c52c5" TargetMode="External" Id="rId4" /><Relationship Type="http://schemas.openxmlformats.org/officeDocument/2006/relationships/hyperlink" Target="https://medium.com/centrifuge/further-acceleration-in-centrifuges-journey-cac316e0d0b2" TargetMode="External" Id="rId5" /><Relationship Type="http://schemas.openxmlformats.org/officeDocument/2006/relationships/hyperlink" Target="https://medium.com/morpho-labs/introducing-morpho-93653ed83fba" TargetMode="External" Id="rId6" /><Relationship Type="http://schemas.openxmlformats.org/officeDocument/2006/relationships/hyperlink" Target="https://medium.com/paladin-protocol/championing-open-activism-in-decentralized-governance-the-seed-of-paladins-ecosystem-3f6faed60944" TargetMode="External" Id="rId7" /><Relationship Type="http://schemas.openxmlformats.org/officeDocument/2006/relationships/hyperlink" Target="https://medium.com/sorare/our-next-chapter-sorare-raises-a-4m-seed-round-led-by-e-ventures-b8e615bce191" TargetMode="External" Id="rId8" /><Relationship Type="http://schemas.openxmlformats.org/officeDocument/2006/relationships/hyperlink" Target="https://medium.com/superfluid-blog/superfluid-raises-9m-to-build-the-real-time-finance-economy-988ed538def1" TargetMode="External" Id="rId9" /><Relationship Type="http://schemas.openxmlformats.org/officeDocument/2006/relationships/hyperlink" Target="https://medium.com/walletconnect/walletconnect-raises-11m-to-build-out-the-messaging-layer-for-web3-740a185bf861" TargetMode="External" Id="rId10" /><Relationship Type="http://schemas.openxmlformats.org/officeDocument/2006/relationships/hyperlink" Target="https://mirror.xyz/ratedw3b.eth/d27q8fhLvfW1a_cwJf8S4rjrOT2_kX3mmMrTmMvB4wc" TargetMode="External" Id="rId11" /><Relationship Type="http://schemas.openxmlformats.org/officeDocument/2006/relationships/hyperlink" Target="https://siliconangle.com/2022/10/12/valory-raises-4m-unlock-software-driven-autonomy-blockchain-apps/" TargetMode="External" Id="rId12" /><Relationship Type="http://schemas.openxmlformats.org/officeDocument/2006/relationships/hyperlink" Target="https://tech.eu/brief/institutional-investor-crypto-trading-platform-sheeldmarket-raises-10-million/" TargetMode="External" Id="rId13" /><Relationship Type="http://schemas.openxmlformats.org/officeDocument/2006/relationships/hyperlink" Target="https://techcrunch.com/2022/05/03/cheq-hopes-an-easy-to-use-app-for-stablecoins-will-appeal-to-inflation-wracked-countries/" TargetMode="External" Id="rId14" /><Relationship Type="http://schemas.openxmlformats.org/officeDocument/2006/relationships/hyperlink" Target="https://twitter.com/TheBlock__/status/1721799948893626393" TargetMode="External" Id="rId15" /><Relationship Type="http://schemas.openxmlformats.org/officeDocument/2006/relationships/hyperlink" Target="https://twitter.com/certorainc/status/1395765638765940739?s=21" TargetMode="External" Id="rId16" /><Relationship Type="http://schemas.openxmlformats.org/officeDocument/2006/relationships/hyperlink" Target="https://twitter.com/fence_finance/status/1726843615794868510" TargetMode="External" Id="rId17" /><Relationship Type="http://schemas.openxmlformats.org/officeDocument/2006/relationships/hyperlink" Target="https://twitter.com/ratedw3b/status/1707020071355425149" TargetMode="External" Id="rId18" /><Relationship Type="http://schemas.openxmlformats.org/officeDocument/2006/relationships/hyperlink" Target="https://twitter.com/union_build/status/1725149230837190866" TargetMode="External" Id="rId19" /><Relationship Type="http://schemas.openxmlformats.org/officeDocument/2006/relationships/hyperlink" Target="https://www.coindesk.com/business/2022/04/13/dfns-raises-135m-to-build-out-password-protection-for-crypto-wallets/" TargetMode="External" Id="rId20" /><Relationship Type="http://schemas.openxmlformats.org/officeDocument/2006/relationships/hyperlink" Target="https://www.coindesk.com/business/2023/06/21/binance-labs-coinfund-lead-10m-round-for-smart-contract-infrastructure-firm-neutron/" TargetMode="External" Id="rId21" /><Relationship Type="http://schemas.openxmlformats.org/officeDocument/2006/relationships/hyperlink" Target="https://www.coindesk.com/business/2024/08/01/crypto-lending-firm-morpho-bags-50m-in-funding-round-led-by-ribbit-capital/" TargetMode="External" Id="rId22" /><Relationship Type="http://schemas.openxmlformats.org/officeDocument/2006/relationships/hyperlink" Target="https://www.coindesk.com/markets/2018/03/07/messari-raises-seed-funding-for-ico-answer-to-edgar/" TargetMode="External" Id="rId23" /><Relationship Type="http://schemas.openxmlformats.org/officeDocument/2006/relationships/hyperlink" Target="https://www.theblock.co/post/157089/a16z-and-variant-lead-18-million-round-into-defi-lending-protocol-morpho" TargetMode="External" Id="rId24" /><Relationship Type="http://schemas.openxmlformats.org/officeDocument/2006/relationships/hyperlink" Target="https://www.theblock.co/post/182729/solana-yield-manager-texture-raises-5-million-enters-private-beta" TargetMode="External" Id="rId25" /><Relationship Type="http://schemas.openxmlformats.org/officeDocument/2006/relationships/hyperlink" Target="https://www.theblock.co/post/291730/ex-revolut-exec-raises-6-5-million-usd-hybrid-crypto-exchange-x10" TargetMode="External" Id="rId26" /><Relationship Type="http://schemas.openxmlformats.org/officeDocument/2006/relationships/hyperlink" Target="https://x.com/Ryder_ID/status/1978773212260675814" TargetMode="External" Id="rId27" /><Relationship Type="http://schemas.openxmlformats.org/officeDocument/2006/relationships/hyperlink" Target="https://x.com/chainbound_/status/1828047583090016308" TargetMode="External" Id="rId28" /><Relationship Type="http://schemas.openxmlformats.org/officeDocument/2006/relationships/hyperlink" Target="https://x.com/dfnsHQ/status/1879173512750928058" TargetMode="External" Id="rId29" /><Relationship Type="http://schemas.openxmlformats.org/officeDocument/2006/relationships/hyperlink" Target="https://x.com/due_network/status/1950469044710043943" TargetMode="External" Id="rId30" /><Relationship Type="http://schemas.openxmlformats.org/officeDocument/2006/relationships/hyperlink" Target="https://x.com/herd_eco/status/1886460827034902974" TargetMode="External" Id="rId31" /><Relationship Type="http://schemas.openxmlformats.org/officeDocument/2006/relationships/hyperlink" Target="https://x.com/valantislabs/status/1859285814821388325" TargetMode="External" Id="rId32" /><Relationship Type="http://schemas.openxmlformats.org/officeDocument/2006/relationships/hyperlink" Target="https://crypto-fundraising.info/funds/semantic-ventures/" TargetMode="External" Id="rId33" /><Relationship Type="http://schemas.openxmlformats.org/officeDocument/2006/relationships/hyperlink" Target="https://crypto-fundraising.info/projects/aplo/" TargetMode="External" Id="rId34" /><Relationship Type="http://schemas.openxmlformats.org/officeDocument/2006/relationships/hyperlink" Target="https://crypto-fundraising.info/projects/async-art/" TargetMode="External" Id="rId35" /><Relationship Type="http://schemas.openxmlformats.org/officeDocument/2006/relationships/hyperlink" Target="https://crypto-fundraising.info/projects/babylon-finance/" TargetMode="External" Id="rId36" /><Relationship Type="http://schemas.openxmlformats.org/officeDocument/2006/relationships/hyperlink" Target="https://crypto-fundraising.info/projects/centrifuge/" TargetMode="External" Id="rId37" /><Relationship Type="http://schemas.openxmlformats.org/officeDocument/2006/relationships/hyperlink" Target="https://crypto-fundraising.info/projects/certora/" TargetMode="External" Id="rId38" /><Relationship Type="http://schemas.openxmlformats.org/officeDocument/2006/relationships/hyperlink" Target="https://crypto-fundraising.info/projects/chainbound-bolt/" TargetMode="External" Id="rId39" /><Relationship Type="http://schemas.openxmlformats.org/officeDocument/2006/relationships/hyperlink" Target="https://crypto-fundraising.info/projects/cheq/" TargetMode="External" Id="rId40" /><Relationship Type="http://schemas.openxmlformats.org/officeDocument/2006/relationships/hyperlink" Target="https://crypto-fundraising.info/projects/dfns/" TargetMode="External" Id="rId41" /><Relationship Type="http://schemas.openxmlformats.org/officeDocument/2006/relationships/hyperlink" Target="https://crypto-fundraising.info/projects/due/" TargetMode="External" Id="rId42" /><Relationship Type="http://schemas.openxmlformats.org/officeDocument/2006/relationships/hyperlink" Target="https://crypto-fundraising.info/projects/fence/" TargetMode="External" Id="rId43" /><Relationship Type="http://schemas.openxmlformats.org/officeDocument/2006/relationships/hyperlink" Target="https://crypto-fundraising.info/projects/herd/" TargetMode="External" Id="rId44" /><Relationship Type="http://schemas.openxmlformats.org/officeDocument/2006/relationships/hyperlink" Target="https://crypto-fundraising.info/projects/messari/" TargetMode="External" Id="rId45" /><Relationship Type="http://schemas.openxmlformats.org/officeDocument/2006/relationships/hyperlink" Target="https://crypto-fundraising.info/projects/morpho/" TargetMode="External" Id="rId46" /><Relationship Type="http://schemas.openxmlformats.org/officeDocument/2006/relationships/hyperlink" Target="https://crypto-fundraising.info/projects/neutron/" TargetMode="External" Id="rId47" /><Relationship Type="http://schemas.openxmlformats.org/officeDocument/2006/relationships/hyperlink" Target="https://crypto-fundraising.info/projects/paladin/" TargetMode="External" Id="rId48" /><Relationship Type="http://schemas.openxmlformats.org/officeDocument/2006/relationships/hyperlink" Target="https://crypto-fundraising.info/projects/rated/" TargetMode="External" Id="rId49" /><Relationship Type="http://schemas.openxmlformats.org/officeDocument/2006/relationships/hyperlink" Target="https://crypto-fundraising.info/projects/ryder/" TargetMode="External" Id="rId50" /><Relationship Type="http://schemas.openxmlformats.org/officeDocument/2006/relationships/hyperlink" Target="https://crypto-fundraising.info/projects/sorare/" TargetMode="External" Id="rId51" /><Relationship Type="http://schemas.openxmlformats.org/officeDocument/2006/relationships/hyperlink" Target="https://crypto-fundraising.info/projects/starknet/" TargetMode="External" Id="rId52" /><Relationship Type="http://schemas.openxmlformats.org/officeDocument/2006/relationships/hyperlink" Target="https://crypto-fundraising.info/projects/superfluid/" TargetMode="External" Id="rId53" /><Relationship Type="http://schemas.openxmlformats.org/officeDocument/2006/relationships/hyperlink" Target="https://crypto-fundraising.info/projects/texture/" TargetMode="External" Id="rId54" /><Relationship Type="http://schemas.openxmlformats.org/officeDocument/2006/relationships/hyperlink" Target="https://crypto-fundraising.info/projects/union-labs/" TargetMode="External" Id="rId55" /><Relationship Type="http://schemas.openxmlformats.org/officeDocument/2006/relationships/hyperlink" Target="https://crypto-fundraising.info/projects/valantis-labs/" TargetMode="External" Id="rId56" /><Relationship Type="http://schemas.openxmlformats.org/officeDocument/2006/relationships/hyperlink" Target="https://crypto-fundraising.info/projects/valory/" TargetMode="External" Id="rId57" /><Relationship Type="http://schemas.openxmlformats.org/officeDocument/2006/relationships/hyperlink" Target="https://crypto-fundraising.info/projects/walletconnect/" TargetMode="External" Id="rId58" /><Relationship Type="http://schemas.openxmlformats.org/officeDocument/2006/relationships/hyperlink" Target="https://crypto-fundraising.info/projects/x10/" TargetMode="External" Id="rId59" /><Relationship Type="http://schemas.openxmlformats.org/officeDocument/2006/relationships/hyperlink" Target="https://cryptorank.io/funds/semantic-ventures/portfolio" TargetMode="External" Id="rId60" /><Relationship Type="http://schemas.openxmlformats.org/officeDocument/2006/relationships/table" Target="/xl/tables/table6.xml" Id="rId61" /></Relationships>
</file>

<file path=xl/worksheets/_rels/sheet9.xml.rels><Relationships xmlns="http://schemas.openxmlformats.org/package/2006/relationships"><Relationship Type="http://schemas.openxmlformats.org/officeDocument/2006/relationships/hyperlink" Target="https://crypto-fundraising.info/projects/x10/" TargetMode="External" Id="rId1" /><Relationship Type="http://schemas.openxmlformats.org/officeDocument/2006/relationships/hyperlink" Target="https://crypto-fundraising.info/projects/neutron/" TargetMode="External" Id="rId2" /><Relationship Type="http://schemas.openxmlformats.org/officeDocument/2006/relationships/hyperlink" Target="https://crypto-fundraising.info/projects/texture/" TargetMode="External" Id="rId3" /><Relationship Type="http://schemas.openxmlformats.org/officeDocument/2006/relationships/hyperlink" Target="https://crypto-fundraising.info/projects/centrifuge/" TargetMode="External" Id="rId4" /><Relationship Type="http://schemas.openxmlformats.org/officeDocument/2006/relationships/table" Target="/xl/tables/table7.xml" Id="rId5" /></Relationships>
</file>

<file path=xl/worksheets/_rels/sheet10.xml.rels><Relationships xmlns="http://schemas.openxmlformats.org/package/2006/relationships"><Relationship Type="http://schemas.openxmlformats.org/officeDocument/2006/relationships/hyperlink" Target="https://www.semantic.vc/" TargetMode="External" Id="rId1" /><Relationship Type="http://schemas.openxmlformats.org/officeDocument/2006/relationships/hyperlink" Target="https://cryptorank.io/funds/semantic-ventures/portfolio" TargetMode="External" Id="rId2" /><Relationship Type="http://schemas.openxmlformats.org/officeDocument/2006/relationships/table" Target="/xl/tables/table8.xml" Id="rId3"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Crypto-VC-investeringsdatabase — Semantic Ventures</t>
        </is>
      </c>
      <c r="B1" s="2" t="n"/>
    </row>
    <row r="2">
      <c r="A2" s="3" t="n"/>
      <c r="B2" s="2" t="n"/>
    </row>
    <row r="3">
      <c r="A3" s="3" t="inlineStr">
        <is>
          <t>Bereik van dit bestand</t>
        </is>
      </c>
      <c r="B3" s="2" t="inlineStr">
        <is>
          <t>Alleen Semantic Ventures. Het volledige overzicht met alle twintig fondsen staat in vc-investeringen-volledig.xlsx.</t>
        </is>
      </c>
    </row>
    <row r="4">
      <c r="A4" s="3" t="inlineStr">
        <is>
          <t>Co-investeerders</t>
        </is>
      </c>
      <c r="B4" s="2" t="inlineStr">
        <is>
          <t>Het tabblad Rondes toont álle investeerders in dezelfde ronde, ook fondsen buiten dit bestand. Dat is bewust: de overige namen in de cap table zijn juist het interessante deel.</t>
        </is>
      </c>
    </row>
    <row r="5">
      <c r="A5" s="3" t="n"/>
      <c r="B5" s="2" t="n"/>
    </row>
    <row r="6">
      <c r="A6" s="3" t="inlineStr">
        <is>
          <t>Peildatum bron</t>
        </is>
      </c>
      <c r="B6" s="2" t="inlineStr">
        <is>
          <t>2026-08-15</t>
        </is>
      </c>
    </row>
    <row r="7">
      <c r="A7" s="3" t="inlineStr">
        <is>
          <t>Workbook gegenereerd</t>
        </is>
      </c>
      <c r="B7" s="2" t="inlineStr">
        <is>
          <t>2026-08-15</t>
        </is>
      </c>
    </row>
    <row r="8">
      <c r="A8" s="3" t="inlineStr">
        <is>
          <t>Fondsen in dit bestand</t>
        </is>
      </c>
      <c r="B8" s="2" t="inlineStr">
        <is>
          <t>1</t>
        </is>
      </c>
    </row>
    <row r="9">
      <c r="A9" s="3" t="n"/>
      <c r="B9" s="2" t="n"/>
    </row>
    <row r="10">
      <c r="A10" s="3" t="inlineStr">
        <is>
          <t>Wat dit bestand is</t>
        </is>
      </c>
      <c r="B10" s="2" t="inlineStr">
        <is>
          <t>Eén regel per combinatie van fonds en financieringsronde, opgebouwd uit rondepagina's en niet uit fondspagina's.</t>
        </is>
      </c>
    </row>
    <row r="11">
      <c r="A11" s="3" t="inlineStr">
        <is>
          <t>Volledigheid</t>
        </is>
      </c>
      <c r="B11" s="2" t="inlineStr">
        <is>
          <t>Volledig binnen de publiek toegankelijke en genoemde bronnen op de peildatum. Niet-aangekondigde rondes, secundaire transacties, liquide marktposities en investeerders die in persberichten onder 'others' vallen, blijven structureel onzichtbaar.</t>
        </is>
      </c>
    </row>
    <row r="12">
      <c r="A12" s="3" t="n"/>
      <c r="B12" s="2" t="n"/>
    </row>
    <row r="13">
      <c r="A13" s="3" t="inlineStr">
        <is>
          <t>Methode</t>
        </is>
      </c>
      <c r="B13" s="2" t="inlineStr">
        <is>
          <t>Het ronde-universum is in één pass over alle projectpagina's van crypto-fundraising.info opgehaald; daarna is de index omgekeerd naar fonds. Fondspagina's tonen structureel tien regels en zijn daarom alleen als controlelijst gebruikt.</t>
        </is>
      </c>
    </row>
    <row r="14">
      <c r="A14" s="3" t="inlineStr">
        <is>
          <t>Projecten doorzocht</t>
        </is>
      </c>
      <c r="B14" s="2" t="inlineStr">
        <is>
          <t>6410</t>
        </is>
      </c>
    </row>
    <row r="15">
      <c r="A15" s="3" t="inlineStr">
        <is>
          <t>Rondes in de bron</t>
        </is>
      </c>
      <c r="B15" s="2" t="inlineStr">
        <is>
          <t>10395</t>
        </is>
      </c>
    </row>
    <row r="16">
      <c r="A16" s="3" t="inlineStr">
        <is>
          <t>Investeerdersrelaties in de bron</t>
        </is>
      </c>
      <c r="B16" s="2" t="inlineStr">
        <is>
          <t>48588</t>
        </is>
      </c>
    </row>
    <row r="17">
      <c r="A17" s="3" t="n"/>
      <c r="B17" s="2" t="n"/>
    </row>
    <row r="18">
      <c r="A18" s="3" t="inlineStr">
        <is>
          <t>Tabbladen</t>
        </is>
      </c>
      <c r="B18" s="2" t="n"/>
    </row>
    <row r="19">
      <c r="A19" s="3" t="inlineStr">
        <is>
          <t>Fondsen</t>
        </is>
      </c>
      <c r="B19" s="2" t="inlineStr">
        <is>
          <t>De twintig fondsen, met controletotalen per externe bron.</t>
        </is>
      </c>
    </row>
    <row r="20">
      <c r="A20" s="3" t="inlineStr">
        <is>
          <t>Investeringen</t>
        </is>
      </c>
      <c r="B20" s="2" t="inlineStr">
        <is>
          <t>Eén regel per fonds-ronde. Dit is de hoofdtabel en de CSV-export.</t>
        </is>
      </c>
    </row>
    <row r="21">
      <c r="A21" s="3" t="inlineStr">
        <is>
          <t>Rondes</t>
        </is>
      </c>
      <c r="B21" s="2" t="inlineStr">
        <is>
          <t>Eén regel per ronde. Een ronde met vijf geselecteerde fondsen staat hier één keer en in Investeringen vijf keer.</t>
        </is>
      </c>
    </row>
    <row r="22">
      <c r="A22" s="3" t="inlineStr">
        <is>
          <t>Portefeuillebedrijven</t>
        </is>
      </c>
      <c r="B22" s="2" t="inlineStr">
        <is>
          <t>Eén regel per bedrijf waarin minstens één van de twintig fondsen investeerde.</t>
        </is>
      </c>
    </row>
    <row r="23">
      <c r="A23" s="3" t="inlineStr">
        <is>
          <t>Dekking</t>
        </is>
      </c>
      <c r="B23" s="2" t="inlineStr">
        <is>
          <t>Eigen telling naast officiële portfoliopagina, crypto-fundraising.info, RootData en CryptoRank.</t>
        </is>
      </c>
    </row>
    <row r="24">
      <c r="A24" s="3" t="inlineStr">
        <is>
          <t>Bronnen</t>
        </is>
      </c>
      <c r="B24" s="2" t="inlineStr">
        <is>
          <t>Elke gebruikte bron-URL met raadpleegdatum en type.</t>
        </is>
      </c>
    </row>
    <row r="25">
      <c r="A25" s="3" t="inlineStr">
        <is>
          <t>Conflicten</t>
        </is>
      </c>
      <c r="B25" s="2" t="inlineStr">
        <is>
          <t>Velden waarover bronnen elkaar tegenspreken. Niet gladgestreken.</t>
        </is>
      </c>
    </row>
    <row r="26">
      <c r="A26" s="3" t="inlineStr">
        <is>
          <t>Onbekend</t>
        </is>
      </c>
      <c r="B26" s="2" t="inlineStr">
        <is>
          <t>Records met ontbrekende velden en wat er is geprobeerd.</t>
        </is>
      </c>
    </row>
    <row r="27">
      <c r="A27" s="3" t="inlineStr">
        <is>
          <t>Aliases</t>
        </is>
      </c>
      <c r="B27" s="2" t="inlineStr">
        <is>
          <t>Canonieke naam, bronnaam en de reden dat namen zijn samengevoegd.</t>
        </is>
      </c>
    </row>
    <row r="28">
      <c r="A28" s="3" t="n"/>
      <c r="B28" s="2" t="n"/>
    </row>
    <row r="29">
      <c r="A29" s="3" t="inlineStr">
        <is>
          <t>Leesregels</t>
        </is>
      </c>
      <c r="B29" s="2" t="n"/>
    </row>
    <row r="30">
      <c r="A30" s="3" t="inlineStr">
        <is>
          <t>Lege cel</t>
        </is>
      </c>
      <c r="B30" s="2" t="inlineStr">
        <is>
          <t>Waarde onbekend. Nooit vervangen door nul of een schatting.</t>
        </is>
      </c>
    </row>
    <row r="31">
      <c r="A31" s="3" t="inlineStr">
        <is>
          <t>round_size_usd</t>
        </is>
      </c>
      <c r="B31" s="2" t="inlineStr">
        <is>
          <t>Grootte van de hele ronde. Uitdrukkelijk niet het bedrag dat het fonds zelf inlegde.</t>
        </is>
      </c>
    </row>
    <row r="32">
      <c r="A32" s="3" t="inlineStr">
        <is>
          <t>fund_ticket_usd</t>
        </is>
      </c>
      <c r="B32" s="2" t="inlineStr">
        <is>
          <t>Bedrag dat het fonds zelf inlegde. Vrijwel nooit openbaar; daarom vrijwel altijd leeg.</t>
        </is>
      </c>
    </row>
    <row r="33">
      <c r="A33" s="3" t="inlineStr">
        <is>
          <t>valuation_usd</t>
        </is>
      </c>
      <c r="B33" s="2" t="inlineStr">
        <is>
          <t>Waardering van de ronde zoals de bron die vermeldt, met valuation_type erbij. Nooit een actuele token-FDV.</t>
        </is>
      </c>
    </row>
    <row r="34">
      <c r="A34" s="3" t="n"/>
      <c r="B34" s="2" t="n"/>
    </row>
    <row r="35">
      <c r="A35" s="3" t="inlineStr">
        <is>
          <t>Kleurcodering</t>
        </is>
      </c>
      <c r="B35" s="2" t="inlineStr">
        <is>
          <t>Rood: conflict_flag is TRUE. Geel: verificatiestatus onzeker of single_source.</t>
        </is>
      </c>
    </row>
    <row r="36">
      <c r="A36" s="3" t="n"/>
      <c r="B36" s="2" t="n"/>
    </row>
    <row r="37">
      <c r="A37" s="3" t="inlineStr">
        <is>
          <t>Bronvolgorde</t>
        </is>
      </c>
      <c r="B37" s="2" t="inlineStr">
        <is>
          <t>1 officiële aankondiging bedrijf, 2 aankondiging fonds, 3 officieel document, 4 persbericht, 5 crypto-fundraising.info, 6 RootData, 7 CryptoRank, 8 media.</t>
        </is>
      </c>
    </row>
    <row r="38">
      <c r="A38" s="3" t="n"/>
      <c r="B38" s="2" t="n"/>
    </row>
    <row r="39">
      <c r="A39" s="3" t="inlineStr">
        <is>
          <t>Disclaimer</t>
        </is>
      </c>
      <c r="B39" s="2" t="inlineStr">
        <is>
          <t>Geen beleggingsadvies.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semantic-ventures</t>
        </is>
      </c>
      <c r="B2" s="5" t="inlineStr">
        <is>
          <t>Semantic Ventures</t>
        </is>
      </c>
      <c r="C2" s="5" t="inlineStr">
        <is>
          <t>semantic-ventures</t>
        </is>
      </c>
      <c r="D2" s="6" t="n">
        <v>31</v>
      </c>
      <c r="E2" s="6" t="n">
        <v>26</v>
      </c>
      <c r="F2" s="6" t="n">
        <v>5</v>
      </c>
      <c r="G2" s="6" t="n">
        <v>28</v>
      </c>
      <c r="H2" s="5" t="inlineStr">
        <is>
          <t>United Kingdom</t>
        </is>
      </c>
      <c r="I2" s="7" t="inlineStr">
        <is>
          <t>https://www.semantic.vc/</t>
        </is>
      </c>
      <c r="J2" s="7" t="inlineStr">
        <is>
          <t>https://crypto-fundraising.info/funds/semantic-ventures/</t>
        </is>
      </c>
      <c r="K2" s="7" t="inlineStr">
        <is>
          <t>https://cryptorank.io/funds/semantic-ventures/portfolio</t>
        </is>
      </c>
    </row>
    <row r="4">
      <c r="A4" s="8" t="inlineStr">
        <is>
          <t>Controle (formules over Investeringen)</t>
        </is>
      </c>
    </row>
    <row r="5">
      <c r="A5" t="inlineStr">
        <is>
          <t>investeringsregels totaal</t>
        </is>
      </c>
      <c r="B5">
        <f>COUNTA(Investeringen!A2:A32)</f>
        <v/>
      </c>
    </row>
    <row r="6">
      <c r="A6" t="inlineStr">
        <is>
          <t>som investments_in_database</t>
        </is>
      </c>
      <c r="B6">
        <f>SUM(D2:D2)</f>
        <v/>
      </c>
    </row>
    <row r="7">
      <c r="A7" t="inlineStr">
        <is>
          <t>rondes totaal</t>
        </is>
      </c>
      <c r="B7">
        <f>COUNTA(Rondes!A2:A32)</f>
        <v/>
      </c>
    </row>
    <row r="8">
      <c r="A8" t="inlineStr">
        <is>
          <t>bedrijven totaal</t>
        </is>
      </c>
      <c r="B8">
        <f>COUNTA(Portefeuillebedrijven!A2:A27)</f>
        <v/>
      </c>
    </row>
    <row r="9">
      <c r="A9" t="inlineStr">
        <is>
          <t>regels met conflict_flag</t>
        </is>
      </c>
      <c r="B9">
        <f>COUNTIF(Investeringen!AJ2:AJ32,TRUE)</f>
        <v/>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K2" r:id="rId3"/>
  </hyperlinks>
  <pageMargins left="0.75" right="0.75" top="1" bottom="1" header="0.5" footer="0.5"/>
  <tableParts count="1">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sheetPr>
  <dimension ref="A1:AL3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7f93800ea40b2b16</t>
        </is>
      </c>
      <c r="B2" s="5" t="inlineStr">
        <is>
          <t>fae80c5b4becb3a3</t>
        </is>
      </c>
      <c r="C2" s="5" t="inlineStr">
        <is>
          <t>semantic-ventures</t>
        </is>
      </c>
      <c r="D2" s="5" t="inlineStr">
        <is>
          <t>Semantic Ventures</t>
        </is>
      </c>
      <c r="E2" s="5" t="inlineStr">
        <is>
          <t>Semantic Ventures</t>
        </is>
      </c>
      <c r="F2" s="5" t="inlineStr">
        <is>
          <t>messari</t>
        </is>
      </c>
      <c r="G2" s="5" t="inlineStr">
        <is>
          <t>Messari</t>
        </is>
      </c>
      <c r="H2" s="5" t="inlineStr">
        <is>
          <t>Messari</t>
        </is>
      </c>
      <c r="I2" s="5" t="n"/>
      <c r="J2" s="9" t="n">
        <v>43166</v>
      </c>
      <c r="K2" s="9" t="n">
        <v>43166</v>
      </c>
      <c r="L2" s="5" t="inlineStr">
        <is>
          <t>Seed</t>
        </is>
      </c>
      <c r="M2" s="5" t="inlineStr">
        <is>
          <t>equity</t>
        </is>
      </c>
      <c r="N2" s="5" t="inlineStr">
        <is>
          <t>participant</t>
        </is>
      </c>
      <c r="O2" s="10" t="b">
        <v>0</v>
      </c>
      <c r="P2" s="11" t="n">
        <v>1000000</v>
      </c>
      <c r="Q2" s="10" t="n"/>
      <c r="R2" s="5" t="n"/>
      <c r="S2" s="10" t="n"/>
      <c r="T2" s="5" t="inlineStr">
        <is>
          <t>USD</t>
        </is>
      </c>
      <c r="U2" s="11" t="n">
        <v>1000000</v>
      </c>
      <c r="V2" s="5" t="n"/>
      <c r="W2" s="5" t="n"/>
      <c r="X2" s="5" t="n"/>
      <c r="Y2" s="5" t="n"/>
      <c r="Z2" s="10" t="b">
        <v>0</v>
      </c>
      <c r="AA2" s="5" t="n"/>
      <c r="AB2" s="5" t="n"/>
      <c r="AC2" s="10" t="n"/>
      <c r="AD2" s="7" t="inlineStr">
        <is>
          <t>https://www.coindesk.com/markets/2018/03/07/messari-raises-seed-funding-for-ico-answer-to-edgar/</t>
        </is>
      </c>
      <c r="AE2" s="10" t="n"/>
      <c r="AF2" s="7" t="inlineStr">
        <is>
          <t>https://crypto-fundraising.info/projects/messari/</t>
        </is>
      </c>
      <c r="AG2" s="9" t="n">
        <v>46249</v>
      </c>
      <c r="AH2" s="5" t="inlineStr">
        <is>
          <t>verified_primary</t>
        </is>
      </c>
      <c r="AI2" s="5" t="inlineStr">
        <is>
          <t>high</t>
        </is>
      </c>
      <c r="AJ2" s="10" t="b">
        <v>0</v>
      </c>
      <c r="AK2" s="12" t="inlineStr">
        <is>
          <t>DHVC (Danhua Capital); Fabric Ventures; Fenbushi Capital; Underscore VC; Kindred Ventures; Cypher Capital; Rising Tide; SparkLabs Global Ventures; Digital Asset Investment Company</t>
        </is>
      </c>
      <c r="AL2" s="12" t="n"/>
    </row>
    <row r="3">
      <c r="A3" s="5" t="inlineStr">
        <is>
          <t>e57942579a88b2f1</t>
        </is>
      </c>
      <c r="B3" s="5" t="inlineStr">
        <is>
          <t>a88f96607ee75aff</t>
        </is>
      </c>
      <c r="C3" s="5" t="inlineStr">
        <is>
          <t>semantic-ventures</t>
        </is>
      </c>
      <c r="D3" s="5" t="inlineStr">
        <is>
          <t>Semantic Ventures</t>
        </is>
      </c>
      <c r="E3" s="5" t="inlineStr">
        <is>
          <t>Semantic Ventures</t>
        </is>
      </c>
      <c r="F3" s="5" t="inlineStr">
        <is>
          <t>starknet</t>
        </is>
      </c>
      <c r="G3" s="5" t="inlineStr">
        <is>
          <t>StarkNet</t>
        </is>
      </c>
      <c r="H3" s="5" t="inlineStr">
        <is>
          <t>StarkNet</t>
        </is>
      </c>
      <c r="I3" s="5" t="n"/>
      <c r="J3" s="9" t="n">
        <v>43404</v>
      </c>
      <c r="K3" s="9" t="n">
        <v>43404</v>
      </c>
      <c r="L3" s="5" t="inlineStr">
        <is>
          <t>Series A</t>
        </is>
      </c>
      <c r="M3" s="5" t="inlineStr">
        <is>
          <t>equity</t>
        </is>
      </c>
      <c r="N3" s="5" t="inlineStr">
        <is>
          <t>participant</t>
        </is>
      </c>
      <c r="O3" s="10" t="b">
        <v>0</v>
      </c>
      <c r="P3" s="11" t="n">
        <v>30000000</v>
      </c>
      <c r="Q3" s="10" t="n"/>
      <c r="R3" s="5" t="n"/>
      <c r="S3" s="10" t="n"/>
      <c r="T3" s="5" t="inlineStr">
        <is>
          <t>USD</t>
        </is>
      </c>
      <c r="U3" s="11" t="n">
        <v>30000000</v>
      </c>
      <c r="V3" s="5" t="n"/>
      <c r="W3" s="5" t="n"/>
      <c r="X3" s="5" t="n"/>
      <c r="Y3" s="5" t="inlineStr">
        <is>
          <t>STRK</t>
        </is>
      </c>
      <c r="Z3" s="10" t="b">
        <v>1</v>
      </c>
      <c r="AA3" s="5" t="n"/>
      <c r="AB3" s="5" t="n"/>
      <c r="AC3" s="10" t="n"/>
      <c r="AD3" s="7" t="inlineStr">
        <is>
          <t>https://marketexclusive.com/israeli-blockchain-startup-starkware-raises-30-million-in-series-a-round-with-funding-from-coinbase-intel-capital/2018/10/</t>
        </is>
      </c>
      <c r="AE3" s="10" t="n"/>
      <c r="AF3" s="7" t="inlineStr">
        <is>
          <t>https://crypto-fundraising.info/projects/starknet/</t>
        </is>
      </c>
      <c r="AG3" s="9" t="n">
        <v>46249</v>
      </c>
      <c r="AH3" s="5" t="inlineStr">
        <is>
          <t>verified_primary</t>
        </is>
      </c>
      <c r="AI3" s="5" t="inlineStr">
        <is>
          <t>high</t>
        </is>
      </c>
      <c r="AJ3" s="10" t="b">
        <v>0</v>
      </c>
      <c r="AK3" s="12" t="inlineStr">
        <is>
          <t>Paradigm; Sequoia Capital; Pantera Capital; Multicoin Capital; ConsenSys; Coinbase Ventures; Scalar Capital; Data Collective DCVC; Founders fund; Floodgate; Collaborative Fund; Atomico; Naval Ravikant</t>
        </is>
      </c>
      <c r="AL3" s="12" t="n"/>
    </row>
    <row r="4">
      <c r="A4" s="5" t="inlineStr">
        <is>
          <t>961e026d095eb223</t>
        </is>
      </c>
      <c r="B4" s="5" t="inlineStr">
        <is>
          <t>6c9e5d2c56cd3111</t>
        </is>
      </c>
      <c r="C4" s="5" t="inlineStr">
        <is>
          <t>semantic-ventures</t>
        </is>
      </c>
      <c r="D4" s="5" t="inlineStr">
        <is>
          <t>Semantic Ventures</t>
        </is>
      </c>
      <c r="E4" s="5" t="inlineStr">
        <is>
          <t>Semantic Ventures</t>
        </is>
      </c>
      <c r="F4" s="5" t="inlineStr">
        <is>
          <t>centrifuge</t>
        </is>
      </c>
      <c r="G4" s="5" t="inlineStr">
        <is>
          <t>Centrifuge</t>
        </is>
      </c>
      <c r="H4" s="5" t="inlineStr">
        <is>
          <t>Centrifuge</t>
        </is>
      </c>
      <c r="I4" s="5" t="n"/>
      <c r="J4" s="9" t="n">
        <v>43767</v>
      </c>
      <c r="K4" s="9" t="n">
        <v>43767</v>
      </c>
      <c r="L4" s="5" t="n"/>
      <c r="M4" s="5" t="inlineStr">
        <is>
          <t>unknown</t>
        </is>
      </c>
      <c r="N4" s="5" t="inlineStr">
        <is>
          <t>participant</t>
        </is>
      </c>
      <c r="O4" s="10" t="b">
        <v>0</v>
      </c>
      <c r="P4" s="11" t="n">
        <v>3700000</v>
      </c>
      <c r="Q4" s="10" t="n"/>
      <c r="R4" s="5" t="n"/>
      <c r="S4" s="10" t="n"/>
      <c r="T4" s="5" t="inlineStr">
        <is>
          <t>USD</t>
        </is>
      </c>
      <c r="U4" s="11" t="n">
        <v>3700000</v>
      </c>
      <c r="V4" s="5" t="n"/>
      <c r="W4" s="5" t="n"/>
      <c r="X4" s="5" t="n"/>
      <c r="Y4" s="5" t="inlineStr">
        <is>
          <t>CFG</t>
        </is>
      </c>
      <c r="Z4" s="10" t="b">
        <v>1</v>
      </c>
      <c r="AA4" s="5" t="n"/>
      <c r="AB4" s="5" t="n"/>
      <c r="AC4" s="10" t="n"/>
      <c r="AD4" s="7" t="inlineStr">
        <is>
          <t>https://medium.com/centrifuge/further-acceleration-in-centrifuges-journey-cac316e0d0b2</t>
        </is>
      </c>
      <c r="AE4" s="10" t="n"/>
      <c r="AF4" s="7" t="inlineStr">
        <is>
          <t>https://crypto-fundraising.info/projects/centrifuge/</t>
        </is>
      </c>
      <c r="AG4" s="9" t="n">
        <v>46249</v>
      </c>
      <c r="AH4" s="5" t="inlineStr">
        <is>
          <t>verified_primary</t>
        </is>
      </c>
      <c r="AI4" s="5" t="inlineStr">
        <is>
          <t>high</t>
        </is>
      </c>
      <c r="AJ4" s="10" t="b">
        <v>0</v>
      </c>
      <c r="AK4" s="12" t="inlineStr">
        <is>
          <t>Fabric Ventures; BlueYard Capital; Mosaic Ventures; Robert Leshner</t>
        </is>
      </c>
      <c r="AL4" s="12" t="inlineStr">
        <is>
          <t>Bron vermeldde geen rondetype.</t>
        </is>
      </c>
    </row>
    <row r="5">
      <c r="A5" s="5" t="inlineStr">
        <is>
          <t>f0bf652395bb9e5c</t>
        </is>
      </c>
      <c r="B5" s="5" t="inlineStr">
        <is>
          <t>ab07299eb4a751b0</t>
        </is>
      </c>
      <c r="C5" s="5" t="inlineStr">
        <is>
          <t>semantic-ventures</t>
        </is>
      </c>
      <c r="D5" s="5" t="inlineStr">
        <is>
          <t>Semantic Ventures</t>
        </is>
      </c>
      <c r="E5" s="5" t="inlineStr">
        <is>
          <t>Semantic Ventures</t>
        </is>
      </c>
      <c r="F5" s="5" t="inlineStr">
        <is>
          <t>sorare</t>
        </is>
      </c>
      <c r="G5" s="5" t="inlineStr">
        <is>
          <t>Sorare</t>
        </is>
      </c>
      <c r="H5" s="5" t="inlineStr">
        <is>
          <t>Sorare</t>
        </is>
      </c>
      <c r="I5" s="5" t="n"/>
      <c r="J5" s="9" t="n">
        <v>44028</v>
      </c>
      <c r="K5" s="9" t="n">
        <v>44028</v>
      </c>
      <c r="L5" s="5" t="inlineStr">
        <is>
          <t>Seed</t>
        </is>
      </c>
      <c r="M5" s="5" t="inlineStr">
        <is>
          <t>equity</t>
        </is>
      </c>
      <c r="N5" s="5" t="inlineStr">
        <is>
          <t>participant</t>
        </is>
      </c>
      <c r="O5" s="10" t="b">
        <v>0</v>
      </c>
      <c r="P5" s="11" t="n">
        <v>4000000</v>
      </c>
      <c r="Q5" s="10" t="n"/>
      <c r="R5" s="5" t="n"/>
      <c r="S5" s="10" t="n"/>
      <c r="T5" s="5" t="inlineStr">
        <is>
          <t>USD</t>
        </is>
      </c>
      <c r="U5" s="11" t="n">
        <v>4000000</v>
      </c>
      <c r="V5" s="5" t="n"/>
      <c r="W5" s="5" t="n"/>
      <c r="X5" s="5" t="n"/>
      <c r="Y5" s="5" t="n"/>
      <c r="Z5" s="10" t="b">
        <v>0</v>
      </c>
      <c r="AA5" s="5" t="n"/>
      <c r="AB5" s="5" t="n"/>
      <c r="AC5" s="10" t="n"/>
      <c r="AD5" s="7" t="inlineStr">
        <is>
          <t>https://medium.com/sorare/our-next-chapter-sorare-raises-a-4m-seed-round-led-by-e-ventures-b8e615bce191</t>
        </is>
      </c>
      <c r="AE5" s="10" t="n"/>
      <c r="AF5" s="7" t="inlineStr">
        <is>
          <t>https://crypto-fundraising.info/projects/sorare/</t>
        </is>
      </c>
      <c r="AG5" s="9" t="n">
        <v>46249</v>
      </c>
      <c r="AH5" s="5" t="inlineStr">
        <is>
          <t>verified_primary</t>
        </is>
      </c>
      <c r="AI5" s="5" t="inlineStr">
        <is>
          <t>high</t>
        </is>
      </c>
      <c r="AJ5" s="10" t="b">
        <v>0</v>
      </c>
      <c r="AK5" s="12" t="inlineStr">
        <is>
          <t>Partech; Fabric Ventures; Cygni Capital</t>
        </is>
      </c>
      <c r="AL5" s="12" t="n"/>
    </row>
    <row r="6">
      <c r="A6" s="5" t="inlineStr">
        <is>
          <t>b6142def7d9bee07</t>
        </is>
      </c>
      <c r="B6" s="5" t="inlineStr">
        <is>
          <t>deec79399732acbb</t>
        </is>
      </c>
      <c r="C6" s="5" t="inlineStr">
        <is>
          <t>semantic-ventures</t>
        </is>
      </c>
      <c r="D6" s="5" t="inlineStr">
        <is>
          <t>Semantic Ventures</t>
        </is>
      </c>
      <c r="E6" s="5" t="inlineStr">
        <is>
          <t>Semantic Ventures</t>
        </is>
      </c>
      <c r="F6" s="5" t="inlineStr">
        <is>
          <t>async-art</t>
        </is>
      </c>
      <c r="G6" s="5" t="inlineStr">
        <is>
          <t>Async Art</t>
        </is>
      </c>
      <c r="H6" s="5" t="inlineStr">
        <is>
          <t>Async Art</t>
        </is>
      </c>
      <c r="I6" s="5" t="n"/>
      <c r="J6" s="9" t="n">
        <v>44245</v>
      </c>
      <c r="K6" s="9" t="n">
        <v>44245</v>
      </c>
      <c r="L6" s="5" t="inlineStr">
        <is>
          <t>Seed</t>
        </is>
      </c>
      <c r="M6" s="5" t="inlineStr">
        <is>
          <t>equity</t>
        </is>
      </c>
      <c r="N6" s="5" t="inlineStr">
        <is>
          <t>participant</t>
        </is>
      </c>
      <c r="O6" s="10" t="b">
        <v>0</v>
      </c>
      <c r="P6" s="11" t="n">
        <v>2000000</v>
      </c>
      <c r="Q6" s="10" t="n"/>
      <c r="R6" s="5" t="n"/>
      <c r="S6" s="10" t="n"/>
      <c r="T6" s="5" t="inlineStr">
        <is>
          <t>USD</t>
        </is>
      </c>
      <c r="U6" s="11" t="n">
        <v>2000000</v>
      </c>
      <c r="V6" s="5" t="n"/>
      <c r="W6" s="5" t="n"/>
      <c r="X6" s="5" t="n"/>
      <c r="Y6" s="5" t="n"/>
      <c r="Z6" s="10" t="b">
        <v>0</v>
      </c>
      <c r="AA6" s="5" t="n"/>
      <c r="AB6" s="5" t="n"/>
      <c r="AC6" s="10" t="n"/>
      <c r="AD6" s="7" t="inlineStr">
        <is>
          <t>https://edition.async.art/blog/funding-secured</t>
        </is>
      </c>
      <c r="AE6" s="10" t="n"/>
      <c r="AF6" s="7" t="inlineStr">
        <is>
          <t>https://crypto-fundraising.info/projects/async-art/</t>
        </is>
      </c>
      <c r="AG6" s="9" t="n">
        <v>46249</v>
      </c>
      <c r="AH6" s="5" t="inlineStr">
        <is>
          <t>verified_primary</t>
        </is>
      </c>
      <c r="AI6" s="5" t="inlineStr">
        <is>
          <t>high</t>
        </is>
      </c>
      <c r="AJ6" s="10" t="b">
        <v>0</v>
      </c>
      <c r="AK6" s="12" t="inlineStr">
        <is>
          <t>Galaxy Digital; THE LAO; Divergence; Collab+Currency; Placeholder; Signum Capital; Lemniscap; Inflection; Blue Wire Capital</t>
        </is>
      </c>
      <c r="AL6" s="12" t="n"/>
    </row>
    <row r="7">
      <c r="A7" s="5" t="inlineStr">
        <is>
          <t>61376495b2ec9b65</t>
        </is>
      </c>
      <c r="B7" s="5" t="inlineStr">
        <is>
          <t>1817271c9983b70f</t>
        </is>
      </c>
      <c r="C7" s="5" t="inlineStr">
        <is>
          <t>semantic-ventures</t>
        </is>
      </c>
      <c r="D7" s="5" t="inlineStr">
        <is>
          <t>Semantic Ventures</t>
        </is>
      </c>
      <c r="E7" s="5" t="inlineStr">
        <is>
          <t>Semantic Ventures</t>
        </is>
      </c>
      <c r="F7" s="5" t="inlineStr">
        <is>
          <t>babylon-finance</t>
        </is>
      </c>
      <c r="G7" s="5" t="inlineStr">
        <is>
          <t>Babylon Finance</t>
        </is>
      </c>
      <c r="H7" s="5" t="inlineStr">
        <is>
          <t>Babylon Finance</t>
        </is>
      </c>
      <c r="I7" s="5" t="n"/>
      <c r="J7" s="9" t="n">
        <v>44259</v>
      </c>
      <c r="K7" s="9" t="n">
        <v>44259</v>
      </c>
      <c r="L7" s="5" t="inlineStr">
        <is>
          <t>Seed</t>
        </is>
      </c>
      <c r="M7" s="5" t="inlineStr">
        <is>
          <t>equity</t>
        </is>
      </c>
      <c r="N7" s="5" t="inlineStr">
        <is>
          <t>participant</t>
        </is>
      </c>
      <c r="O7" s="10" t="b">
        <v>0</v>
      </c>
      <c r="P7" s="11" t="n">
        <v>1900000</v>
      </c>
      <c r="Q7" s="10" t="n"/>
      <c r="R7" s="5" t="n"/>
      <c r="S7" s="10" t="n"/>
      <c r="T7" s="5" t="inlineStr">
        <is>
          <t>USD</t>
        </is>
      </c>
      <c r="U7" s="11" t="n">
        <v>1900000</v>
      </c>
      <c r="V7" s="5" t="n"/>
      <c r="W7" s="5" t="n"/>
      <c r="X7" s="5" t="n"/>
      <c r="Y7" s="5" t="inlineStr">
        <is>
          <t>BABL</t>
        </is>
      </c>
      <c r="Z7" s="10" t="b">
        <v>1</v>
      </c>
      <c r="AA7" s="5" t="n"/>
      <c r="AB7" s="5" t="n"/>
      <c r="AC7" s="10" t="n"/>
      <c r="AD7" s="7" t="inlineStr">
        <is>
          <t>https://medium.com/babylon-finance/announcing-babl-8f41b58c52c5</t>
        </is>
      </c>
      <c r="AE7" s="10" t="n"/>
      <c r="AF7" s="7" t="inlineStr">
        <is>
          <t>https://crypto-fundraising.info/projects/babylon-finance/</t>
        </is>
      </c>
      <c r="AG7" s="9" t="n">
        <v>46249</v>
      </c>
      <c r="AH7" s="5" t="inlineStr">
        <is>
          <t>verified_primary</t>
        </is>
      </c>
      <c r="AI7" s="5" t="inlineStr">
        <is>
          <t>high</t>
        </is>
      </c>
      <c r="AJ7" s="10" t="b">
        <v>0</v>
      </c>
      <c r="AK7" s="12" t="inlineStr">
        <is>
          <t>AngelDAO; CoinList; Dialectic; Cluster Capital; Alliance DAO (ex DeFi Alliance); Block0; Meltem Demirors; Konstantin Lomashuk; Ryon Nixon; MapleLeafCap; Luis Cuende; Tom Shaughnessy; Joseph Young; Harvest.finance</t>
        </is>
      </c>
      <c r="AL7" s="12" t="n"/>
    </row>
    <row r="8">
      <c r="A8" s="5" t="inlineStr">
        <is>
          <t>552d6156a7c5e39d</t>
        </is>
      </c>
      <c r="B8" s="5" t="inlineStr">
        <is>
          <t>aa921a77d77f56e0</t>
        </is>
      </c>
      <c r="C8" s="5" t="inlineStr">
        <is>
          <t>semantic-ventures</t>
        </is>
      </c>
      <c r="D8" s="5" t="inlineStr">
        <is>
          <t>Semantic Ventures</t>
        </is>
      </c>
      <c r="E8" s="5" t="inlineStr">
        <is>
          <t>Semantic Ventures</t>
        </is>
      </c>
      <c r="F8" s="5" t="inlineStr">
        <is>
          <t>certora</t>
        </is>
      </c>
      <c r="G8" s="5" t="inlineStr">
        <is>
          <t>Certora</t>
        </is>
      </c>
      <c r="H8" s="5" t="inlineStr">
        <is>
          <t>Certora</t>
        </is>
      </c>
      <c r="I8" s="5" t="n"/>
      <c r="J8" s="9" t="n">
        <v>44338</v>
      </c>
      <c r="K8" s="9" t="n">
        <v>44338</v>
      </c>
      <c r="L8" s="5" t="inlineStr">
        <is>
          <t>Series A</t>
        </is>
      </c>
      <c r="M8" s="5" t="inlineStr">
        <is>
          <t>equity</t>
        </is>
      </c>
      <c r="N8" s="5" t="inlineStr">
        <is>
          <t>participant</t>
        </is>
      </c>
      <c r="O8" s="10" t="b">
        <v>0</v>
      </c>
      <c r="P8" s="11" t="n">
        <v>7200000</v>
      </c>
      <c r="Q8" s="10" t="n"/>
      <c r="R8" s="5" t="n"/>
      <c r="S8" s="10" t="n"/>
      <c r="T8" s="5" t="inlineStr">
        <is>
          <t>USD</t>
        </is>
      </c>
      <c r="U8" s="11" t="n">
        <v>7200000</v>
      </c>
      <c r="V8" s="5" t="n"/>
      <c r="W8" s="5" t="n"/>
      <c r="X8" s="5" t="n"/>
      <c r="Y8" s="5" t="n"/>
      <c r="Z8" s="10" t="b">
        <v>0</v>
      </c>
      <c r="AA8" s="5" t="n"/>
      <c r="AB8" s="5" t="n"/>
      <c r="AC8" s="10" t="n"/>
      <c r="AD8" s="7" t="inlineStr">
        <is>
          <t>https://twitter.com/certorainc/status/1395765638765940739?s=21</t>
        </is>
      </c>
      <c r="AE8" s="10" t="n"/>
      <c r="AF8" s="7" t="inlineStr">
        <is>
          <t>https://crypto-fundraising.info/projects/certora/</t>
        </is>
      </c>
      <c r="AG8" s="9" t="n">
        <v>46249</v>
      </c>
      <c r="AH8" s="5" t="inlineStr">
        <is>
          <t>verified_primary</t>
        </is>
      </c>
      <c r="AI8" s="5" t="inlineStr">
        <is>
          <t>high</t>
        </is>
      </c>
      <c r="AJ8" s="10" t="b">
        <v>0</v>
      </c>
      <c r="AK8" s="12" t="inlineStr">
        <is>
          <t>Electric Capital; A Capital; Balaji Srinivasan; Coinbase Ventures; CoinFund; Framework Ventures; Hypersphere; Lemniscap; Stani Kulechov; VMware; Elad Gil</t>
        </is>
      </c>
      <c r="AL8" s="12" t="n"/>
    </row>
    <row r="9">
      <c r="A9" s="5" t="inlineStr">
        <is>
          <t>0af4c87199f126d7</t>
        </is>
      </c>
      <c r="B9" s="5" t="inlineStr">
        <is>
          <t>103edf6fd7f70fc2</t>
        </is>
      </c>
      <c r="C9" s="5" t="inlineStr">
        <is>
          <t>semantic-ventures</t>
        </is>
      </c>
      <c r="D9" s="5" t="inlineStr">
        <is>
          <t>Semantic Ventures</t>
        </is>
      </c>
      <c r="E9" s="5" t="inlineStr">
        <is>
          <t>Semantic Ventures</t>
        </is>
      </c>
      <c r="F9" s="5" t="inlineStr">
        <is>
          <t>superfluid</t>
        </is>
      </c>
      <c r="G9" s="5" t="inlineStr">
        <is>
          <t>Superfluid</t>
        </is>
      </c>
      <c r="H9" s="5" t="inlineStr">
        <is>
          <t>Superfluid</t>
        </is>
      </c>
      <c r="I9" s="5" t="n"/>
      <c r="J9" s="9" t="n">
        <v>44390</v>
      </c>
      <c r="K9" s="9" t="n">
        <v>44390</v>
      </c>
      <c r="L9" s="5" t="inlineStr">
        <is>
          <t>Seed</t>
        </is>
      </c>
      <c r="M9" s="5" t="inlineStr">
        <is>
          <t>equity</t>
        </is>
      </c>
      <c r="N9" s="5" t="inlineStr">
        <is>
          <t>participant</t>
        </is>
      </c>
      <c r="O9" s="10" t="b">
        <v>0</v>
      </c>
      <c r="P9" s="11" t="n">
        <v>9000000</v>
      </c>
      <c r="Q9" s="10" t="n"/>
      <c r="R9" s="5" t="n"/>
      <c r="S9" s="10" t="n"/>
      <c r="T9" s="5" t="inlineStr">
        <is>
          <t>USD</t>
        </is>
      </c>
      <c r="U9" s="11" t="n">
        <v>9000000</v>
      </c>
      <c r="V9" s="5" t="n"/>
      <c r="W9" s="5" t="n"/>
      <c r="X9" s="5" t="n"/>
      <c r="Y9" s="5" t="inlineStr">
        <is>
          <t>SUP</t>
        </is>
      </c>
      <c r="Z9" s="10" t="b">
        <v>1</v>
      </c>
      <c r="AA9" s="5" t="n"/>
      <c r="AB9" s="5" t="n"/>
      <c r="AC9" s="10" t="n"/>
      <c r="AD9" s="7" t="inlineStr">
        <is>
          <t>https://medium.com/superfluid-blog/superfluid-raises-9m-to-build-the-real-time-finance-economy-988ed538def1</t>
        </is>
      </c>
      <c r="AE9" s="10" t="n"/>
      <c r="AF9" s="7" t="inlineStr">
        <is>
          <t>https://crypto-fundraising.info/projects/superfluid/</t>
        </is>
      </c>
      <c r="AG9" s="9" t="n">
        <v>46249</v>
      </c>
      <c r="AH9" s="5" t="inlineStr">
        <is>
          <t>verified_primary</t>
        </is>
      </c>
      <c r="AI9" s="5" t="inlineStr">
        <is>
          <t>high</t>
        </is>
      </c>
      <c r="AJ9" s="10" t="b">
        <v>0</v>
      </c>
      <c r="AK9" s="12" t="inlineStr">
        <is>
          <t>Balaji Srinivasan; Stani Kulechov; Do Kwon; Multicoin Capital; Delphi Digital; DeFiance Capital; MetaCartel Ventures; Fabric Ventures; THE LAO; Alliance DAO (ex DeFi Alliance); Divergence; AngelDAO; StableNode; White Star Capital</t>
        </is>
      </c>
      <c r="AL9" s="12" t="n"/>
    </row>
    <row r="10">
      <c r="A10" s="5" t="inlineStr">
        <is>
          <t>aca12e4560338ddc</t>
        </is>
      </c>
      <c r="B10" s="5" t="inlineStr">
        <is>
          <t>be64e029a0fdcde8</t>
        </is>
      </c>
      <c r="C10" s="5" t="inlineStr">
        <is>
          <t>semantic-ventures</t>
        </is>
      </c>
      <c r="D10" s="5" t="inlineStr">
        <is>
          <t>Semantic Ventures</t>
        </is>
      </c>
      <c r="E10" s="5" t="inlineStr">
        <is>
          <t>Semantic Ventures</t>
        </is>
      </c>
      <c r="F10" s="5" t="inlineStr">
        <is>
          <t>paladin</t>
        </is>
      </c>
      <c r="G10" s="5" t="inlineStr">
        <is>
          <t>Paladin</t>
        </is>
      </c>
      <c r="H10" s="5" t="inlineStr">
        <is>
          <t>Paladin</t>
        </is>
      </c>
      <c r="I10" s="5" t="n"/>
      <c r="J10" s="9" t="n">
        <v>44467</v>
      </c>
      <c r="K10" s="9" t="n">
        <v>44467</v>
      </c>
      <c r="L10" s="5" t="inlineStr">
        <is>
          <t>Seed</t>
        </is>
      </c>
      <c r="M10" s="5" t="inlineStr">
        <is>
          <t>equity</t>
        </is>
      </c>
      <c r="N10" s="5" t="inlineStr">
        <is>
          <t>participant</t>
        </is>
      </c>
      <c r="O10" s="10" t="b">
        <v>0</v>
      </c>
      <c r="P10" s="11" t="n">
        <v>2550000</v>
      </c>
      <c r="Q10" s="10" t="n"/>
      <c r="R10" s="5" t="n"/>
      <c r="S10" s="10" t="n"/>
      <c r="T10" s="5" t="inlineStr">
        <is>
          <t>USD</t>
        </is>
      </c>
      <c r="U10" s="11" t="n">
        <v>2550000</v>
      </c>
      <c r="V10" s="5" t="n"/>
      <c r="W10" s="5" t="n"/>
      <c r="X10" s="5" t="n"/>
      <c r="Y10" s="5" t="inlineStr">
        <is>
          <t>PAL</t>
        </is>
      </c>
      <c r="Z10" s="10" t="b">
        <v>1</v>
      </c>
      <c r="AA10" s="5" t="n"/>
      <c r="AB10" s="5" t="n"/>
      <c r="AC10" s="10" t="n"/>
      <c r="AD10" s="7" t="inlineStr">
        <is>
          <t>https://medium.com/paladin-protocol/championing-open-activism-in-decentralized-governance-the-seed-of-paladins-ecosystem-3f6faed60944</t>
        </is>
      </c>
      <c r="AE10" s="10" t="n"/>
      <c r="AF10" s="7" t="inlineStr">
        <is>
          <t>https://crypto-fundraising.info/projects/paladin/</t>
        </is>
      </c>
      <c r="AG10" s="9" t="n">
        <v>46249</v>
      </c>
      <c r="AH10" s="5" t="inlineStr">
        <is>
          <t>verified_primary</t>
        </is>
      </c>
      <c r="AI10" s="5" t="inlineStr">
        <is>
          <t>high</t>
        </is>
      </c>
      <c r="AJ10" s="10" t="b">
        <v>0</v>
      </c>
      <c r="AK10" s="12" t="inlineStr">
        <is>
          <t>Greenfield Capital; Galaxy Digital; NFX</t>
        </is>
      </c>
      <c r="AL10" s="12" t="n"/>
    </row>
    <row r="11">
      <c r="A11" s="5" t="inlineStr">
        <is>
          <t>88313bb2c9b3bc20</t>
        </is>
      </c>
      <c r="B11" s="5" t="inlineStr">
        <is>
          <t>9af1fb90c6a20d88</t>
        </is>
      </c>
      <c r="C11" s="5" t="inlineStr">
        <is>
          <t>semantic-ventures</t>
        </is>
      </c>
      <c r="D11" s="5" t="inlineStr">
        <is>
          <t>Semantic Ventures</t>
        </is>
      </c>
      <c r="E11" s="5" t="inlineStr">
        <is>
          <t>Semantic Ventures</t>
        </is>
      </c>
      <c r="F11" s="5" t="inlineStr">
        <is>
          <t>aplo</t>
        </is>
      </c>
      <c r="G11" s="5" t="inlineStr">
        <is>
          <t>Aplo</t>
        </is>
      </c>
      <c r="H11" s="5" t="inlineStr">
        <is>
          <t>Aplo</t>
        </is>
      </c>
      <c r="I11" s="5" t="n"/>
      <c r="J11" s="9" t="n">
        <v>44481</v>
      </c>
      <c r="K11" s="9" t="n">
        <v>44481</v>
      </c>
      <c r="L11" s="5" t="inlineStr">
        <is>
          <t>Series A</t>
        </is>
      </c>
      <c r="M11" s="5" t="inlineStr">
        <is>
          <t>equity</t>
        </is>
      </c>
      <c r="N11" s="5" t="inlineStr">
        <is>
          <t>participant</t>
        </is>
      </c>
      <c r="O11" s="10" t="b">
        <v>0</v>
      </c>
      <c r="P11" s="11" t="n">
        <v>10000000</v>
      </c>
      <c r="Q11" s="10" t="n"/>
      <c r="R11" s="5" t="n"/>
      <c r="S11" s="10" t="n"/>
      <c r="T11" s="5" t="inlineStr">
        <is>
          <t>USD</t>
        </is>
      </c>
      <c r="U11" s="11" t="n">
        <v>10000000</v>
      </c>
      <c r="V11" s="5" t="n"/>
      <c r="W11" s="5" t="n"/>
      <c r="X11" s="5" t="n"/>
      <c r="Y11" s="5" t="n"/>
      <c r="Z11" s="10" t="b">
        <v>0</v>
      </c>
      <c r="AA11" s="5" t="n"/>
      <c r="AB11" s="5" t="n"/>
      <c r="AC11" s="10" t="n"/>
      <c r="AD11" s="7" t="inlineStr">
        <is>
          <t>https://tech.eu/brief/institutional-investor-crypto-trading-platform-sheeldmarket-raises-10-million/</t>
        </is>
      </c>
      <c r="AE11" s="10" t="n"/>
      <c r="AF11" s="7" t="inlineStr">
        <is>
          <t>https://crypto-fundraising.info/projects/aplo/</t>
        </is>
      </c>
      <c r="AG11" s="9" t="n">
        <v>46249</v>
      </c>
      <c r="AH11" s="5" t="inlineStr">
        <is>
          <t>verified_primary</t>
        </is>
      </c>
      <c r="AI11" s="5" t="inlineStr">
        <is>
          <t>high</t>
        </is>
      </c>
      <c r="AJ11" s="10" t="b">
        <v>0</v>
      </c>
      <c r="AK11" s="12" t="inlineStr">
        <is>
          <t>Draper Dragon; Atomico; Axeleo Capital; Alexis Bonillo; Pascal Gauthier</t>
        </is>
      </c>
      <c r="AL11" s="12" t="n"/>
    </row>
    <row r="12">
      <c r="A12" s="5" t="inlineStr">
        <is>
          <t>fa2e8a8defdcb934</t>
        </is>
      </c>
      <c r="B12" s="5" t="inlineStr">
        <is>
          <t>d1cbd3e9c3384307</t>
        </is>
      </c>
      <c r="C12" s="5" t="inlineStr">
        <is>
          <t>semantic-ventures</t>
        </is>
      </c>
      <c r="D12" s="5" t="inlineStr">
        <is>
          <t>Semantic Ventures</t>
        </is>
      </c>
      <c r="E12" s="5" t="inlineStr">
        <is>
          <t>Semantic Ventures</t>
        </is>
      </c>
      <c r="F12" s="5" t="inlineStr">
        <is>
          <t>morpho</t>
        </is>
      </c>
      <c r="G12" s="5" t="inlineStr">
        <is>
          <t>Morpho</t>
        </is>
      </c>
      <c r="H12" s="5" t="inlineStr">
        <is>
          <t>Morpho</t>
        </is>
      </c>
      <c r="I12" s="5" t="n"/>
      <c r="J12" s="9" t="n">
        <v>44491</v>
      </c>
      <c r="K12" s="9" t="n">
        <v>44491</v>
      </c>
      <c r="L12" s="5" t="inlineStr">
        <is>
          <t>Seed</t>
        </is>
      </c>
      <c r="M12" s="5" t="inlineStr">
        <is>
          <t>equity</t>
        </is>
      </c>
      <c r="N12" s="5" t="inlineStr">
        <is>
          <t>co-lead</t>
        </is>
      </c>
      <c r="O12" s="10" t="b">
        <v>1</v>
      </c>
      <c r="P12" s="11" t="n">
        <v>1350000</v>
      </c>
      <c r="Q12" s="10" t="n"/>
      <c r="R12" s="5" t="n"/>
      <c r="S12" s="10" t="n"/>
      <c r="T12" s="5" t="inlineStr">
        <is>
          <t>USD</t>
        </is>
      </c>
      <c r="U12" s="11" t="n">
        <v>1350000</v>
      </c>
      <c r="V12" s="5" t="n"/>
      <c r="W12" s="5" t="n"/>
      <c r="X12" s="5" t="n"/>
      <c r="Y12" s="5" t="inlineStr">
        <is>
          <t>MORPHO</t>
        </is>
      </c>
      <c r="Z12" s="10" t="b">
        <v>1</v>
      </c>
      <c r="AA12" s="5" t="n"/>
      <c r="AB12" s="5" t="n"/>
      <c r="AC12" s="10" t="n"/>
      <c r="AD12" s="7" t="inlineStr">
        <is>
          <t>https://medium.com/morpho-labs/introducing-morpho-93653ed83fba</t>
        </is>
      </c>
      <c r="AE12" s="10" t="n"/>
      <c r="AF12" s="7" t="inlineStr">
        <is>
          <t>https://crypto-fundraising.info/projects/morpho/</t>
        </is>
      </c>
      <c r="AG12" s="9" t="n">
        <v>46249</v>
      </c>
      <c r="AH12" s="5" t="inlineStr">
        <is>
          <t>verified_primary</t>
        </is>
      </c>
      <c r="AI12" s="5" t="inlineStr">
        <is>
          <t>high</t>
        </is>
      </c>
      <c r="AJ12" s="10" t="b">
        <v>0</v>
      </c>
      <c r="AK12" s="12" t="inlineStr">
        <is>
          <t>Nascent; AngelDAO; Prelude (ex Cherry Crypto); Stake Capital; ATKA; Faculty Group</t>
        </is>
      </c>
      <c r="AL12" s="12" t="n"/>
    </row>
    <row r="13">
      <c r="A13" s="5" t="inlineStr">
        <is>
          <t>3115733edde5b13d</t>
        </is>
      </c>
      <c r="B13" s="5" t="inlineStr">
        <is>
          <t>f1810bd6c8b20a3f</t>
        </is>
      </c>
      <c r="C13" s="5" t="inlineStr">
        <is>
          <t>semantic-ventures</t>
        </is>
      </c>
      <c r="D13" s="5" t="inlineStr">
        <is>
          <t>Semantic Ventures</t>
        </is>
      </c>
      <c r="E13" s="5" t="inlineStr">
        <is>
          <t>Semantic Ventures</t>
        </is>
      </c>
      <c r="F13" s="5" t="inlineStr">
        <is>
          <t>walletconnect</t>
        </is>
      </c>
      <c r="G13" s="5" t="inlineStr">
        <is>
          <t>WalletConnect (Reown)</t>
        </is>
      </c>
      <c r="H13" s="5" t="inlineStr">
        <is>
          <t>WalletConnect (Reown)</t>
        </is>
      </c>
      <c r="I13" s="5" t="n"/>
      <c r="J13" s="9" t="n">
        <v>44628</v>
      </c>
      <c r="K13" s="9" t="n">
        <v>44628</v>
      </c>
      <c r="L13" s="5" t="inlineStr">
        <is>
          <t>Series A</t>
        </is>
      </c>
      <c r="M13" s="5" t="inlineStr">
        <is>
          <t>equity</t>
        </is>
      </c>
      <c r="N13" s="5" t="inlineStr">
        <is>
          <t>participant</t>
        </is>
      </c>
      <c r="O13" s="10" t="b">
        <v>0</v>
      </c>
      <c r="P13" s="11" t="n">
        <v>11000000</v>
      </c>
      <c r="Q13" s="10" t="n"/>
      <c r="R13" s="5" t="n"/>
      <c r="S13" s="10" t="n"/>
      <c r="T13" s="5" t="inlineStr">
        <is>
          <t>USD</t>
        </is>
      </c>
      <c r="U13" s="11" t="n">
        <v>11000000</v>
      </c>
      <c r="V13" s="5" t="n"/>
      <c r="W13" s="5" t="n"/>
      <c r="X13" s="5" t="n"/>
      <c r="Y13" s="5" t="inlineStr">
        <is>
          <t>WCT</t>
        </is>
      </c>
      <c r="Z13" s="10" t="b">
        <v>1</v>
      </c>
      <c r="AA13" s="5" t="n"/>
      <c r="AB13" s="5" t="n"/>
      <c r="AC13" s="10" t="n"/>
      <c r="AD13" s="7" t="inlineStr">
        <is>
          <t>https://medium.com/walletconnect/walletconnect-raises-11m-to-build-out-the-messaging-layer-for-web3-740a185bf861</t>
        </is>
      </c>
      <c r="AE13" s="10" t="n"/>
      <c r="AF13" s="7" t="inlineStr">
        <is>
          <t>https://crypto-fundraising.info/projects/walletconnect/</t>
        </is>
      </c>
      <c r="AG13" s="9" t="n">
        <v>46249</v>
      </c>
      <c r="AH13" s="5" t="inlineStr">
        <is>
          <t>verified_primary</t>
        </is>
      </c>
      <c r="AI13" s="5" t="inlineStr">
        <is>
          <t>high</t>
        </is>
      </c>
      <c r="AJ13" s="10" t="b">
        <v>0</v>
      </c>
      <c r="AK13" s="12" t="inlineStr">
        <is>
          <t>1kx; Union Square Ventures (USV); Coinbase Ventures; A Capital; Alex Svanevik</t>
        </is>
      </c>
      <c r="AL13" s="12" t="n"/>
    </row>
    <row r="14">
      <c r="A14" s="5" t="inlineStr">
        <is>
          <t>c57836334b9c4550</t>
        </is>
      </c>
      <c r="B14" s="5" t="inlineStr">
        <is>
          <t>a739b0a9bec46dea</t>
        </is>
      </c>
      <c r="C14" s="5" t="inlineStr">
        <is>
          <t>semantic-ventures</t>
        </is>
      </c>
      <c r="D14" s="5" t="inlineStr">
        <is>
          <t>Semantic Ventures</t>
        </is>
      </c>
      <c r="E14" s="5" t="inlineStr">
        <is>
          <t>Semantic Ventures</t>
        </is>
      </c>
      <c r="F14" s="5" t="inlineStr">
        <is>
          <t>dfns</t>
        </is>
      </c>
      <c r="G14" s="5" t="inlineStr">
        <is>
          <t>Dfns</t>
        </is>
      </c>
      <c r="H14" s="5" t="inlineStr">
        <is>
          <t>Dfns</t>
        </is>
      </c>
      <c r="I14" s="5" t="n"/>
      <c r="J14" s="9" t="n">
        <v>44668</v>
      </c>
      <c r="K14" s="9" t="n">
        <v>44668</v>
      </c>
      <c r="L14" s="5" t="inlineStr">
        <is>
          <t>Seed</t>
        </is>
      </c>
      <c r="M14" s="5" t="inlineStr">
        <is>
          <t>equity</t>
        </is>
      </c>
      <c r="N14" s="5" t="inlineStr">
        <is>
          <t>participant</t>
        </is>
      </c>
      <c r="O14" s="10" t="b">
        <v>0</v>
      </c>
      <c r="P14" s="11" t="n">
        <v>13500000</v>
      </c>
      <c r="Q14" s="10" t="n"/>
      <c r="R14" s="5" t="n"/>
      <c r="S14" s="10" t="n"/>
      <c r="T14" s="5" t="inlineStr">
        <is>
          <t>USD</t>
        </is>
      </c>
      <c r="U14" s="11" t="n">
        <v>13500000</v>
      </c>
      <c r="V14" s="5" t="n"/>
      <c r="W14" s="5" t="n"/>
      <c r="X14" s="5" t="n"/>
      <c r="Y14" s="5" t="n"/>
      <c r="Z14" s="10" t="b">
        <v>0</v>
      </c>
      <c r="AA14" s="5" t="n"/>
      <c r="AB14" s="5" t="n"/>
      <c r="AC14" s="10" t="n"/>
      <c r="AD14" s="7" t="inlineStr">
        <is>
          <t>https://www.coindesk.com/business/2022/04/13/dfns-raises-135m-to-build-out-password-protection-for-crypto-wallets/</t>
        </is>
      </c>
      <c r="AE14" s="10" t="n"/>
      <c r="AF14" s="7" t="inlineStr">
        <is>
          <t>https://crypto-fundraising.info/projects/dfns/</t>
        </is>
      </c>
      <c r="AG14" s="9" t="n">
        <v>46249</v>
      </c>
      <c r="AH14" s="5" t="inlineStr">
        <is>
          <t>verified_primary</t>
        </is>
      </c>
      <c r="AI14" s="5" t="inlineStr">
        <is>
          <t>high</t>
        </is>
      </c>
      <c r="AJ14" s="10" t="b">
        <v>0</v>
      </c>
      <c r="AK14" s="12" t="inlineStr">
        <is>
          <t>White Star Capital; Hashed; Coinbase Ventures; 6th Man Ventures (6MV); abn amro</t>
        </is>
      </c>
      <c r="AL14" s="12" t="n"/>
    </row>
    <row r="15">
      <c r="A15" s="5" t="inlineStr">
        <is>
          <t>02b42c0d694dc51f</t>
        </is>
      </c>
      <c r="B15" s="5" t="inlineStr">
        <is>
          <t>112a973775f70f32</t>
        </is>
      </c>
      <c r="C15" s="5" t="inlineStr">
        <is>
          <t>semantic-ventures</t>
        </is>
      </c>
      <c r="D15" s="5" t="inlineStr">
        <is>
          <t>Semantic Ventures</t>
        </is>
      </c>
      <c r="E15" s="5" t="inlineStr">
        <is>
          <t>Semantic Ventures</t>
        </is>
      </c>
      <c r="F15" s="5" t="inlineStr">
        <is>
          <t>cheq</t>
        </is>
      </c>
      <c r="G15" s="5" t="inlineStr">
        <is>
          <t>Cheq</t>
        </is>
      </c>
      <c r="H15" s="5" t="inlineStr">
        <is>
          <t>Cheq</t>
        </is>
      </c>
      <c r="I15" s="5" t="n"/>
      <c r="J15" s="9" t="n">
        <v>44684</v>
      </c>
      <c r="K15" s="9" t="n">
        <v>44684</v>
      </c>
      <c r="L15" s="5" t="inlineStr">
        <is>
          <t>Pre-seed</t>
        </is>
      </c>
      <c r="M15" s="5" t="inlineStr">
        <is>
          <t>equity</t>
        </is>
      </c>
      <c r="N15" s="5" t="inlineStr">
        <is>
          <t>participant</t>
        </is>
      </c>
      <c r="O15" s="10" t="b">
        <v>0</v>
      </c>
      <c r="P15" s="11" t="n">
        <v>2000000</v>
      </c>
      <c r="Q15" s="10" t="n"/>
      <c r="R15" s="5" t="n"/>
      <c r="S15" s="10" t="n"/>
      <c r="T15" s="5" t="inlineStr">
        <is>
          <t>USD</t>
        </is>
      </c>
      <c r="U15" s="11" t="n">
        <v>2000000</v>
      </c>
      <c r="V15" s="5" t="n"/>
      <c r="W15" s="5" t="n"/>
      <c r="X15" s="5" t="n"/>
      <c r="Y15" s="5" t="n"/>
      <c r="Z15" s="10" t="b">
        <v>0</v>
      </c>
      <c r="AA15" s="5" t="n"/>
      <c r="AB15" s="5" t="n"/>
      <c r="AC15" s="10" t="n"/>
      <c r="AD15" s="7" t="inlineStr">
        <is>
          <t>https://techcrunch.com/2022/05/03/cheq-hopes-an-easy-to-use-app-for-stablecoins-will-appeal-to-inflation-wracked-countries/</t>
        </is>
      </c>
      <c r="AE15" s="10" t="n"/>
      <c r="AF15" s="7" t="inlineStr">
        <is>
          <t>https://crypto-fundraising.info/projects/cheq/</t>
        </is>
      </c>
      <c r="AG15" s="9" t="n">
        <v>46249</v>
      </c>
      <c r="AH15" s="5" t="inlineStr">
        <is>
          <t>verified_primary</t>
        </is>
      </c>
      <c r="AI15" s="5" t="inlineStr">
        <is>
          <t>high</t>
        </is>
      </c>
      <c r="AJ15" s="10" t="b">
        <v>0</v>
      </c>
      <c r="AK15" s="12" t="inlineStr">
        <is>
          <t>Connect Ventures; Firstminute Capital</t>
        </is>
      </c>
      <c r="AL15" s="12" t="n"/>
    </row>
    <row r="16">
      <c r="A16" s="5" t="inlineStr">
        <is>
          <t>1858f279c6bb9162</t>
        </is>
      </c>
      <c r="B16" s="5" t="inlineStr">
        <is>
          <t>d71c7a27ea174203</t>
        </is>
      </c>
      <c r="C16" s="5" t="inlineStr">
        <is>
          <t>semantic-ventures</t>
        </is>
      </c>
      <c r="D16" s="5" t="inlineStr">
        <is>
          <t>Semantic Ventures</t>
        </is>
      </c>
      <c r="E16" s="5" t="inlineStr">
        <is>
          <t>Semantic Ventures</t>
        </is>
      </c>
      <c r="F16" s="5" t="inlineStr">
        <is>
          <t>morpho</t>
        </is>
      </c>
      <c r="G16" s="5" t="inlineStr">
        <is>
          <t>Morpho</t>
        </is>
      </c>
      <c r="H16" s="5" t="inlineStr">
        <is>
          <t>Morpho</t>
        </is>
      </c>
      <c r="I16" s="5" t="n"/>
      <c r="J16" s="9" t="n">
        <v>44754</v>
      </c>
      <c r="K16" s="9" t="n">
        <v>44754</v>
      </c>
      <c r="L16" s="5" t="inlineStr">
        <is>
          <t>Seed</t>
        </is>
      </c>
      <c r="M16" s="5" t="inlineStr">
        <is>
          <t>equity</t>
        </is>
      </c>
      <c r="N16" s="5" t="inlineStr">
        <is>
          <t>participant</t>
        </is>
      </c>
      <c r="O16" s="10" t="b">
        <v>0</v>
      </c>
      <c r="P16" s="11" t="n">
        <v>18000000</v>
      </c>
      <c r="Q16" s="10" t="n"/>
      <c r="R16" s="5" t="n"/>
      <c r="S16" s="10" t="n"/>
      <c r="T16" s="5" t="inlineStr">
        <is>
          <t>USD</t>
        </is>
      </c>
      <c r="U16" s="11" t="n">
        <v>18000000</v>
      </c>
      <c r="V16" s="5" t="n"/>
      <c r="W16" s="5" t="n"/>
      <c r="X16" s="5" t="n"/>
      <c r="Y16" s="5" t="inlineStr">
        <is>
          <t>MORPHO</t>
        </is>
      </c>
      <c r="Z16" s="10" t="b">
        <v>1</v>
      </c>
      <c r="AA16" s="5" t="n"/>
      <c r="AB16" s="5" t="n"/>
      <c r="AC16" s="10" t="n"/>
      <c r="AD16" s="7" t="inlineStr">
        <is>
          <t>https://www.theblock.co/post/157089/a16z-and-variant-lead-18-million-round-into-defi-lending-protocol-morpho</t>
        </is>
      </c>
      <c r="AE16" s="10" t="n"/>
      <c r="AF16" s="7" t="inlineStr">
        <is>
          <t>https://crypto-fundraising.info/projects/morpho/</t>
        </is>
      </c>
      <c r="AG16" s="9" t="n">
        <v>46249</v>
      </c>
      <c r="AH16" s="5" t="inlineStr">
        <is>
          <t>verified_primary</t>
        </is>
      </c>
      <c r="AI16" s="5" t="inlineStr">
        <is>
          <t>high</t>
        </is>
      </c>
      <c r="AJ16" s="10" t="b">
        <v>0</v>
      </c>
      <c r="AK16" s="12" t="inlineStr">
        <is>
          <t>Andreessen Horowitz (a16z crypto); Variant Fund; Nascent; Mechanism Capital; Spark Capital; Standard Crypto; Coinbase Ventures; Prelude (ex Cherry Crypto); Daedalus; AngelDAO; GSR Markets LTD; Global Coin Research (GCR); ATKA; Nima Capital; Stake Capital; Fasanara Capital; Alven; XAnge VC; Faculty Group</t>
        </is>
      </c>
      <c r="AL16" s="12" t="n"/>
    </row>
    <row r="17">
      <c r="A17" s="5" t="inlineStr">
        <is>
          <t>c9e349412a0a72ac</t>
        </is>
      </c>
      <c r="B17" s="5" t="inlineStr">
        <is>
          <t>7c213eb27ae2e932</t>
        </is>
      </c>
      <c r="C17" s="5" t="inlineStr">
        <is>
          <t>semantic-ventures</t>
        </is>
      </c>
      <c r="D17" s="5" t="inlineStr">
        <is>
          <t>Semantic Ventures</t>
        </is>
      </c>
      <c r="E17" s="5" t="inlineStr">
        <is>
          <t>Semantic Ventures</t>
        </is>
      </c>
      <c r="F17" s="5" t="inlineStr">
        <is>
          <t>rated</t>
        </is>
      </c>
      <c r="G17" s="5" t="inlineStr">
        <is>
          <t>Rated</t>
        </is>
      </c>
      <c r="H17" s="5" t="inlineStr">
        <is>
          <t>Rated</t>
        </is>
      </c>
      <c r="I17" s="5" t="n"/>
      <c r="J17" s="9" t="n">
        <v>44812</v>
      </c>
      <c r="K17" s="9" t="n">
        <v>44812</v>
      </c>
      <c r="L17" s="5" t="inlineStr">
        <is>
          <t>Seed</t>
        </is>
      </c>
      <c r="M17" s="5" t="inlineStr">
        <is>
          <t>equity</t>
        </is>
      </c>
      <c r="N17" s="5" t="inlineStr">
        <is>
          <t>participant</t>
        </is>
      </c>
      <c r="O17" s="10" t="b">
        <v>0</v>
      </c>
      <c r="P17" s="11" t="n">
        <v>2500000</v>
      </c>
      <c r="Q17" s="10" t="n"/>
      <c r="R17" s="5" t="n"/>
      <c r="S17" s="10" t="n"/>
      <c r="T17" s="5" t="inlineStr">
        <is>
          <t>USD</t>
        </is>
      </c>
      <c r="U17" s="11" t="n">
        <v>2500000</v>
      </c>
      <c r="V17" s="5" t="n"/>
      <c r="W17" s="5" t="n"/>
      <c r="X17" s="5" t="n"/>
      <c r="Y17" s="5" t="n"/>
      <c r="Z17" s="10" t="b">
        <v>0</v>
      </c>
      <c r="AA17" s="5" t="n"/>
      <c r="AB17" s="5" t="n"/>
      <c r="AC17" s="10" t="n"/>
      <c r="AD17" s="7" t="inlineStr">
        <is>
          <t>https://mirror.xyz/ratedw3b.eth/d27q8fhLvfW1a_cwJf8S4rjrOT2_kX3mmMrTmMvB4wc</t>
        </is>
      </c>
      <c r="AE17" s="10" t="n"/>
      <c r="AF17" s="7" t="inlineStr">
        <is>
          <t>https://crypto-fundraising.info/projects/rated/</t>
        </is>
      </c>
      <c r="AG17" s="9" t="n">
        <v>46249</v>
      </c>
      <c r="AH17" s="5" t="inlineStr">
        <is>
          <t>verified_primary</t>
        </is>
      </c>
      <c r="AI17" s="5" t="inlineStr">
        <is>
          <t>high</t>
        </is>
      </c>
      <c r="AJ17" s="10" t="b">
        <v>0</v>
      </c>
      <c r="AK17" s="12" t="inlineStr">
        <is>
          <t>1confirmation; Placeholder; Prelude (ex Cherry Crypto); Decentral Park Capital</t>
        </is>
      </c>
      <c r="AL17" s="12" t="n"/>
    </row>
    <row r="18">
      <c r="A18" s="5" t="inlineStr">
        <is>
          <t>af02ca824e8f3617</t>
        </is>
      </c>
      <c r="B18" s="5" t="inlineStr">
        <is>
          <t>a7ca7f675710f516</t>
        </is>
      </c>
      <c r="C18" s="5" t="inlineStr">
        <is>
          <t>semantic-ventures</t>
        </is>
      </c>
      <c r="D18" s="5" t="inlineStr">
        <is>
          <t>Semantic Ventures</t>
        </is>
      </c>
      <c r="E18" s="5" t="inlineStr">
        <is>
          <t>Semantic Ventures</t>
        </is>
      </c>
      <c r="F18" s="5" t="inlineStr">
        <is>
          <t>valory</t>
        </is>
      </c>
      <c r="G18" s="5" t="inlineStr">
        <is>
          <t>Valory</t>
        </is>
      </c>
      <c r="H18" s="5" t="inlineStr">
        <is>
          <t>Valory</t>
        </is>
      </c>
      <c r="I18" s="5" t="n"/>
      <c r="J18" s="9" t="n">
        <v>44847</v>
      </c>
      <c r="K18" s="9" t="n">
        <v>44847</v>
      </c>
      <c r="L18" s="5" t="inlineStr">
        <is>
          <t>Seed</t>
        </is>
      </c>
      <c r="M18" s="5" t="inlineStr">
        <is>
          <t>equity</t>
        </is>
      </c>
      <c r="N18" s="5" t="inlineStr">
        <is>
          <t>participant</t>
        </is>
      </c>
      <c r="O18" s="10" t="b">
        <v>0</v>
      </c>
      <c r="P18" s="11" t="n">
        <v>4000000</v>
      </c>
      <c r="Q18" s="10" t="n"/>
      <c r="R18" s="5" t="n"/>
      <c r="S18" s="10" t="n"/>
      <c r="T18" s="5" t="inlineStr">
        <is>
          <t>USD</t>
        </is>
      </c>
      <c r="U18" s="11" t="n">
        <v>4000000</v>
      </c>
      <c r="V18" s="5" t="n"/>
      <c r="W18" s="5" t="n"/>
      <c r="X18" s="5" t="n"/>
      <c r="Y18" s="5" t="n"/>
      <c r="Z18" s="10" t="b">
        <v>0</v>
      </c>
      <c r="AA18" s="5" t="n"/>
      <c r="AB18" s="5" t="n"/>
      <c r="AC18" s="10" t="n"/>
      <c r="AD18" s="7" t="inlineStr">
        <is>
          <t>https://siliconangle.com/2022/10/12/valory-raises-4m-unlock-software-driven-autonomy-blockchain-apps/</t>
        </is>
      </c>
      <c r="AE18" s="10" t="n"/>
      <c r="AF18" s="7" t="inlineStr">
        <is>
          <t>https://crypto-fundraising.info/projects/valory/</t>
        </is>
      </c>
      <c r="AG18" s="9" t="n">
        <v>46249</v>
      </c>
      <c r="AH18" s="5" t="inlineStr">
        <is>
          <t>verified_primary</t>
        </is>
      </c>
      <c r="AI18" s="5" t="inlineStr">
        <is>
          <t>high</t>
        </is>
      </c>
      <c r="AJ18" s="10" t="b">
        <v>0</v>
      </c>
      <c r="AK18" s="12" t="inlineStr">
        <is>
          <t>True Ventures; PrimeBlock Ventures; ATKA</t>
        </is>
      </c>
      <c r="AL18" s="12" t="n"/>
    </row>
    <row r="19">
      <c r="A19" s="5" t="inlineStr">
        <is>
          <t>db5a5212ce5f688a</t>
        </is>
      </c>
      <c r="B19" s="5" t="inlineStr">
        <is>
          <t>9e3deb8a64b2982e</t>
        </is>
      </c>
      <c r="C19" s="5" t="inlineStr">
        <is>
          <t>semantic-ventures</t>
        </is>
      </c>
      <c r="D19" s="5" t="inlineStr">
        <is>
          <t>Semantic Ventures</t>
        </is>
      </c>
      <c r="E19" s="5" t="inlineStr">
        <is>
          <t>Semantic Ventures</t>
        </is>
      </c>
      <c r="F19" s="5" t="inlineStr">
        <is>
          <t>texture</t>
        </is>
      </c>
      <c r="G19" s="5" t="inlineStr">
        <is>
          <t>Texture</t>
        </is>
      </c>
      <c r="H19" s="5" t="inlineStr">
        <is>
          <t>Texture</t>
        </is>
      </c>
      <c r="I19" s="5" t="n"/>
      <c r="J19" s="9" t="n">
        <v>44869</v>
      </c>
      <c r="K19" s="9" t="n">
        <v>44869</v>
      </c>
      <c r="L19" s="5" t="n"/>
      <c r="M19" s="5" t="inlineStr">
        <is>
          <t>unknown</t>
        </is>
      </c>
      <c r="N19" s="5" t="inlineStr">
        <is>
          <t>participant</t>
        </is>
      </c>
      <c r="O19" s="10" t="b">
        <v>0</v>
      </c>
      <c r="P19" s="11" t="n">
        <v>5000000</v>
      </c>
      <c r="Q19" s="10" t="n"/>
      <c r="R19" s="5" t="n"/>
      <c r="S19" s="10" t="n"/>
      <c r="T19" s="5" t="inlineStr">
        <is>
          <t>USD</t>
        </is>
      </c>
      <c r="U19" s="11" t="n">
        <v>5000000</v>
      </c>
      <c r="V19" s="5" t="n"/>
      <c r="W19" s="5" t="n"/>
      <c r="X19" s="5" t="n"/>
      <c r="Y19" s="5" t="n"/>
      <c r="Z19" s="10" t="b">
        <v>0</v>
      </c>
      <c r="AA19" s="5" t="n"/>
      <c r="AB19" s="5" t="n"/>
      <c r="AC19" s="10" t="n"/>
      <c r="AD19" s="7" t="inlineStr">
        <is>
          <t>https://www.theblock.co/post/182729/solana-yield-manager-texture-raises-5-million-enters-private-beta</t>
        </is>
      </c>
      <c r="AE19" s="10" t="n"/>
      <c r="AF19" s="7" t="inlineStr">
        <is>
          <t>https://crypto-fundraising.info/projects/texture/</t>
        </is>
      </c>
      <c r="AG19" s="9" t="n">
        <v>46249</v>
      </c>
      <c r="AH19" s="5" t="inlineStr">
        <is>
          <t>verified_primary</t>
        </is>
      </c>
      <c r="AI19" s="5" t="inlineStr">
        <is>
          <t>high</t>
        </is>
      </c>
      <c r="AJ19" s="10" t="b">
        <v>0</v>
      </c>
      <c r="AK19" s="12" t="inlineStr">
        <is>
          <t>Ryze Labs (ex SINO Global Capital); P2P Capital; Wintermute Ventures; Jane Street</t>
        </is>
      </c>
      <c r="AL19" s="12" t="inlineStr">
        <is>
          <t>Bron vermeldde geen rondetype.</t>
        </is>
      </c>
    </row>
    <row r="20">
      <c r="A20" s="5" t="inlineStr">
        <is>
          <t>c517bf4863684087</t>
        </is>
      </c>
      <c r="B20" s="5" t="inlineStr">
        <is>
          <t>74dfdeef80eeb38a</t>
        </is>
      </c>
      <c r="C20" s="5" t="inlineStr">
        <is>
          <t>semantic-ventures</t>
        </is>
      </c>
      <c r="D20" s="5" t="inlineStr">
        <is>
          <t>Semantic Ventures</t>
        </is>
      </c>
      <c r="E20" s="5" t="inlineStr">
        <is>
          <t>Semantic Ventures</t>
        </is>
      </c>
      <c r="F20" s="5" t="inlineStr">
        <is>
          <t>neutron</t>
        </is>
      </c>
      <c r="G20" s="5" t="inlineStr">
        <is>
          <t>Neutron</t>
        </is>
      </c>
      <c r="H20" s="5" t="inlineStr">
        <is>
          <t>Neutron</t>
        </is>
      </c>
      <c r="I20" s="5" t="n"/>
      <c r="J20" s="9" t="n">
        <v>45098</v>
      </c>
      <c r="K20" s="9" t="n">
        <v>45098</v>
      </c>
      <c r="L20" s="5" t="n"/>
      <c r="M20" s="5" t="inlineStr">
        <is>
          <t>unknown</t>
        </is>
      </c>
      <c r="N20" s="5" t="inlineStr">
        <is>
          <t>participant</t>
        </is>
      </c>
      <c r="O20" s="10" t="b">
        <v>0</v>
      </c>
      <c r="P20" s="11" t="n">
        <v>10000000</v>
      </c>
      <c r="Q20" s="11" t="n">
        <v>90000000</v>
      </c>
      <c r="R20" s="5" t="inlineStr">
        <is>
          <t>unknown</t>
        </is>
      </c>
      <c r="S20" s="10" t="n"/>
      <c r="T20" s="5" t="inlineStr">
        <is>
          <t>USD</t>
        </is>
      </c>
      <c r="U20" s="11" t="n">
        <v>10000000</v>
      </c>
      <c r="V20" s="5" t="n"/>
      <c r="W20" s="5" t="n"/>
      <c r="X20" s="5" t="n"/>
      <c r="Y20" s="5" t="inlineStr">
        <is>
          <t>NTRN</t>
        </is>
      </c>
      <c r="Z20" s="10" t="b">
        <v>1</v>
      </c>
      <c r="AA20" s="5" t="n"/>
      <c r="AB20" s="5" t="n"/>
      <c r="AC20" s="10" t="n"/>
      <c r="AD20" s="7" t="inlineStr">
        <is>
          <t>https://www.coindesk.com/business/2023/06/21/binance-labs-coinfund-lead-10m-round-for-smart-contract-infrastructure-firm-neutron/</t>
        </is>
      </c>
      <c r="AE20" s="10" t="n"/>
      <c r="AF20" s="7" t="inlineStr">
        <is>
          <t>https://crypto-fundraising.info/projects/neutron/</t>
        </is>
      </c>
      <c r="AG20" s="9" t="n">
        <v>46249</v>
      </c>
      <c r="AH20" s="5" t="inlineStr">
        <is>
          <t>verified_primary</t>
        </is>
      </c>
      <c r="AI20" s="5" t="inlineStr">
        <is>
          <t>high</t>
        </is>
      </c>
      <c r="AJ20" s="10" t="b">
        <v>0</v>
      </c>
      <c r="AK20" s="12" t="inlineStr">
        <is>
          <t>YZi Labs (ex Binance Labs); CoinFund; Delphi Digital; LongHash Ventures; Nomad Capital</t>
        </is>
      </c>
      <c r="AL20" s="12" t="inlineStr">
        <is>
          <t>Bron vermeldde geen rondetype.</t>
        </is>
      </c>
    </row>
    <row r="21">
      <c r="A21" s="5" t="inlineStr">
        <is>
          <t>283926f6951c431f</t>
        </is>
      </c>
      <c r="B21" s="5" t="inlineStr">
        <is>
          <t>50489f97bec97d94</t>
        </is>
      </c>
      <c r="C21" s="5" t="inlineStr">
        <is>
          <t>semantic-ventures</t>
        </is>
      </c>
      <c r="D21" s="5" t="inlineStr">
        <is>
          <t>Semantic Ventures</t>
        </is>
      </c>
      <c r="E21" s="5" t="inlineStr">
        <is>
          <t>Semantic Ventures</t>
        </is>
      </c>
      <c r="F21" s="5" t="inlineStr">
        <is>
          <t>rated</t>
        </is>
      </c>
      <c r="G21" s="5" t="inlineStr">
        <is>
          <t>Rated</t>
        </is>
      </c>
      <c r="H21" s="5" t="inlineStr">
        <is>
          <t>Rated</t>
        </is>
      </c>
      <c r="I21" s="5" t="n"/>
      <c r="J21" s="9" t="n">
        <v>45196</v>
      </c>
      <c r="K21" s="9" t="n">
        <v>45196</v>
      </c>
      <c r="L21" s="5" t="inlineStr">
        <is>
          <t>Series A</t>
        </is>
      </c>
      <c r="M21" s="5" t="inlineStr">
        <is>
          <t>equity</t>
        </is>
      </c>
      <c r="N21" s="5" t="inlineStr">
        <is>
          <t>participant</t>
        </is>
      </c>
      <c r="O21" s="10" t="b">
        <v>0</v>
      </c>
      <c r="P21" s="11" t="n">
        <v>12888000</v>
      </c>
      <c r="Q21" s="10" t="n"/>
      <c r="R21" s="5" t="n"/>
      <c r="S21" s="10" t="n"/>
      <c r="T21" s="5" t="inlineStr">
        <is>
          <t>USD</t>
        </is>
      </c>
      <c r="U21" s="11" t="n">
        <v>12888000</v>
      </c>
      <c r="V21" s="5" t="n"/>
      <c r="W21" s="5" t="n"/>
      <c r="X21" s="5" t="n"/>
      <c r="Y21" s="5" t="n"/>
      <c r="Z21" s="10" t="b">
        <v>0</v>
      </c>
      <c r="AA21" s="5" t="n"/>
      <c r="AB21" s="5" t="n"/>
      <c r="AC21" s="10" t="n"/>
      <c r="AD21" s="7" t="inlineStr">
        <is>
          <t>https://twitter.com/ratedw3b/status/1707020071355425149</t>
        </is>
      </c>
      <c r="AE21" s="10" t="n"/>
      <c r="AF21" s="7" t="inlineStr">
        <is>
          <t>https://crypto-fundraising.info/projects/rated/</t>
        </is>
      </c>
      <c r="AG21" s="9" t="n">
        <v>46249</v>
      </c>
      <c r="AH21" s="5" t="inlineStr">
        <is>
          <t>verified_primary</t>
        </is>
      </c>
      <c r="AI21" s="5" t="inlineStr">
        <is>
          <t>high</t>
        </is>
      </c>
      <c r="AJ21" s="10" t="b">
        <v>0</v>
      </c>
      <c r="AK21" s="12" t="inlineStr">
        <is>
          <t>Archetype; Placeholder; 1confirmation; Prelude (ex Cherry Crypto); Robot Ventures; Chorus One; Factor Ventures; Maelstrom</t>
        </is>
      </c>
      <c r="AL21" s="12" t="n"/>
    </row>
    <row r="22">
      <c r="A22" s="5" t="inlineStr">
        <is>
          <t>1f990a70e92a5728</t>
        </is>
      </c>
      <c r="B22" s="5" t="inlineStr">
        <is>
          <t>c8f05e8a2b854517</t>
        </is>
      </c>
      <c r="C22" s="5" t="inlineStr">
        <is>
          <t>semantic-ventures</t>
        </is>
      </c>
      <c r="D22" s="5" t="inlineStr">
        <is>
          <t>Semantic Ventures</t>
        </is>
      </c>
      <c r="E22" s="5" t="inlineStr">
        <is>
          <t>Semantic Ventures</t>
        </is>
      </c>
      <c r="F22" s="5" t="inlineStr">
        <is>
          <t>due</t>
        </is>
      </c>
      <c r="G22" s="5" t="inlineStr">
        <is>
          <t>Due</t>
        </is>
      </c>
      <c r="H22" s="5" t="inlineStr">
        <is>
          <t>Due</t>
        </is>
      </c>
      <c r="I22" s="5" t="n"/>
      <c r="J22" s="9" t="n">
        <v>45237</v>
      </c>
      <c r="K22" s="9" t="n">
        <v>45237</v>
      </c>
      <c r="L22" s="5" t="inlineStr">
        <is>
          <t>Seed</t>
        </is>
      </c>
      <c r="M22" s="5" t="inlineStr">
        <is>
          <t>equity</t>
        </is>
      </c>
      <c r="N22" s="5" t="inlineStr">
        <is>
          <t>co-lead</t>
        </is>
      </c>
      <c r="O22" s="10" t="b">
        <v>1</v>
      </c>
      <c r="P22" s="11" t="n">
        <v>3300000</v>
      </c>
      <c r="Q22" s="10" t="n"/>
      <c r="R22" s="5" t="n"/>
      <c r="S22" s="10" t="n"/>
      <c r="T22" s="5" t="inlineStr">
        <is>
          <t>USD</t>
        </is>
      </c>
      <c r="U22" s="11" t="n">
        <v>3300000</v>
      </c>
      <c r="V22" s="5" t="n"/>
      <c r="W22" s="5" t="n"/>
      <c r="X22" s="5" t="n"/>
      <c r="Y22" s="5" t="n"/>
      <c r="Z22" s="10" t="b">
        <v>0</v>
      </c>
      <c r="AA22" s="5" t="n"/>
      <c r="AB22" s="5" t="n"/>
      <c r="AC22" s="10" t="n"/>
      <c r="AD22" s="7" t="inlineStr">
        <is>
          <t>https://twitter.com/TheBlock__/status/1721799948893626393</t>
        </is>
      </c>
      <c r="AE22" s="10" t="n"/>
      <c r="AF22" s="7" t="inlineStr">
        <is>
          <t>https://crypto-fundraising.info/projects/due/</t>
        </is>
      </c>
      <c r="AG22" s="9" t="n">
        <v>46249</v>
      </c>
      <c r="AH22" s="5" t="inlineStr">
        <is>
          <t>verified_primary</t>
        </is>
      </c>
      <c r="AI22" s="5" t="inlineStr">
        <is>
          <t>high</t>
        </is>
      </c>
      <c r="AJ22" s="10" t="b">
        <v>0</v>
      </c>
      <c r="AK22" s="12" t="inlineStr">
        <is>
          <t>Fabric Ventures; Strobe Ventures (ex BlockTower Capital); Speedinvest; Polymorphic Capital; Discovery Ventures; Itamar Lesuisse; Pavel Karagjaur; Francesco Simoneschi; Mark Ransford; Emil Urmanshin</t>
        </is>
      </c>
      <c r="AL22" s="12" t="n"/>
    </row>
    <row r="23">
      <c r="A23" s="5" t="inlineStr">
        <is>
          <t>60ddd73c25b7b482</t>
        </is>
      </c>
      <c r="B23" s="5" t="inlineStr">
        <is>
          <t>e99bf4950f70b454</t>
        </is>
      </c>
      <c r="C23" s="5" t="inlineStr">
        <is>
          <t>semantic-ventures</t>
        </is>
      </c>
      <c r="D23" s="5" t="inlineStr">
        <is>
          <t>Semantic Ventures</t>
        </is>
      </c>
      <c r="E23" s="5" t="inlineStr">
        <is>
          <t>Semantic Ventures</t>
        </is>
      </c>
      <c r="F23" s="5" t="inlineStr">
        <is>
          <t>union-labs</t>
        </is>
      </c>
      <c r="G23" s="5" t="inlineStr">
        <is>
          <t>Union Labs</t>
        </is>
      </c>
      <c r="H23" s="5" t="inlineStr">
        <is>
          <t>Union Labs</t>
        </is>
      </c>
      <c r="I23" s="5" t="n"/>
      <c r="J23" s="9" t="n">
        <v>45246</v>
      </c>
      <c r="K23" s="9" t="n">
        <v>45246</v>
      </c>
      <c r="L23" s="5" t="inlineStr">
        <is>
          <t>Seed</t>
        </is>
      </c>
      <c r="M23" s="5" t="inlineStr">
        <is>
          <t>equity</t>
        </is>
      </c>
      <c r="N23" s="5" t="inlineStr">
        <is>
          <t>co-lead</t>
        </is>
      </c>
      <c r="O23" s="10" t="b">
        <v>1</v>
      </c>
      <c r="P23" s="11" t="n">
        <v>4000000</v>
      </c>
      <c r="Q23" s="10" t="n"/>
      <c r="R23" s="5" t="n"/>
      <c r="S23" s="10" t="n"/>
      <c r="T23" s="5" t="inlineStr">
        <is>
          <t>USD</t>
        </is>
      </c>
      <c r="U23" s="11" t="n">
        <v>4000000</v>
      </c>
      <c r="V23" s="5" t="n"/>
      <c r="W23" s="5" t="n"/>
      <c r="X23" s="5" t="n"/>
      <c r="Y23" s="5" t="inlineStr">
        <is>
          <t>U</t>
        </is>
      </c>
      <c r="Z23" s="10" t="b">
        <v>1</v>
      </c>
      <c r="AA23" s="5" t="n"/>
      <c r="AB23" s="5" t="n"/>
      <c r="AC23" s="10" t="n"/>
      <c r="AD23" s="7" t="inlineStr">
        <is>
          <t>https://twitter.com/union_build/status/1725149230837190866</t>
        </is>
      </c>
      <c r="AE23" s="10" t="n"/>
      <c r="AF23" s="7" t="inlineStr">
        <is>
          <t>https://crypto-fundraising.info/projects/union-labs/</t>
        </is>
      </c>
      <c r="AG23" s="9" t="n">
        <v>46249</v>
      </c>
      <c r="AH23" s="5" t="inlineStr">
        <is>
          <t>verified_primary</t>
        </is>
      </c>
      <c r="AI23" s="5" t="inlineStr">
        <is>
          <t>high</t>
        </is>
      </c>
      <c r="AJ23" s="10" t="b">
        <v>0</v>
      </c>
      <c r="AK23" s="12" t="inlineStr">
        <is>
          <t>Galileo; Tioga Capital Partners; Nascent; Lightshift; Chorus One; FounderHeads VC</t>
        </is>
      </c>
      <c r="AL23" s="12" t="n"/>
    </row>
    <row r="24">
      <c r="A24" s="5" t="inlineStr">
        <is>
          <t>d05b6f8a51e87c21</t>
        </is>
      </c>
      <c r="B24" s="5" t="inlineStr">
        <is>
          <t>925ddb39afb2cf4f</t>
        </is>
      </c>
      <c r="C24" s="5" t="inlineStr">
        <is>
          <t>semantic-ventures</t>
        </is>
      </c>
      <c r="D24" s="5" t="inlineStr">
        <is>
          <t>Semantic Ventures</t>
        </is>
      </c>
      <c r="E24" s="5" t="inlineStr">
        <is>
          <t>Semantic Ventures</t>
        </is>
      </c>
      <c r="F24" s="5" t="inlineStr">
        <is>
          <t>fence</t>
        </is>
      </c>
      <c r="G24" s="5" t="inlineStr">
        <is>
          <t>Fence</t>
        </is>
      </c>
      <c r="H24" s="5" t="inlineStr">
        <is>
          <t>Fence</t>
        </is>
      </c>
      <c r="I24" s="5" t="n"/>
      <c r="J24" s="9" t="n">
        <v>45250</v>
      </c>
      <c r="K24" s="9" t="n">
        <v>45250</v>
      </c>
      <c r="L24" s="5" t="inlineStr">
        <is>
          <t>Pre-seed</t>
        </is>
      </c>
      <c r="M24" s="5" t="inlineStr">
        <is>
          <t>equity</t>
        </is>
      </c>
      <c r="N24" s="5" t="inlineStr">
        <is>
          <t>lead</t>
        </is>
      </c>
      <c r="O24" s="10" t="b">
        <v>1</v>
      </c>
      <c r="P24" s="11" t="n">
        <v>1970000</v>
      </c>
      <c r="Q24" s="10" t="n"/>
      <c r="R24" s="5" t="n"/>
      <c r="S24" s="10" t="n"/>
      <c r="T24" s="5" t="inlineStr">
        <is>
          <t>USD</t>
        </is>
      </c>
      <c r="U24" s="11" t="n">
        <v>1970000</v>
      </c>
      <c r="V24" s="5" t="n"/>
      <c r="W24" s="5" t="n"/>
      <c r="X24" s="5" t="n"/>
      <c r="Y24" s="5" t="n"/>
      <c r="Z24" s="10" t="b">
        <v>0</v>
      </c>
      <c r="AA24" s="5" t="n"/>
      <c r="AB24" s="5" t="n"/>
      <c r="AC24" s="10" t="n"/>
      <c r="AD24" s="7" t="inlineStr">
        <is>
          <t>https://twitter.com/fence_finance/status/1726843615794868510</t>
        </is>
      </c>
      <c r="AE24" s="10" t="n"/>
      <c r="AF24" s="7" t="inlineStr">
        <is>
          <t>https://crypto-fundraising.info/projects/fence/</t>
        </is>
      </c>
      <c r="AG24" s="9" t="n">
        <v>46249</v>
      </c>
      <c r="AH24" s="5" t="inlineStr">
        <is>
          <t>verified_primary</t>
        </is>
      </c>
      <c r="AI24" s="5" t="inlineStr">
        <is>
          <t>high</t>
        </is>
      </c>
      <c r="AJ24" s="10" t="b">
        <v>0</v>
      </c>
      <c r="AK24" s="12" t="inlineStr">
        <is>
          <t>Crane Earth; Actyus; Mark Ransford</t>
        </is>
      </c>
      <c r="AL24" s="12" t="n"/>
    </row>
    <row r="25">
      <c r="A25" s="5" t="inlineStr">
        <is>
          <t>484a3226c41eca78</t>
        </is>
      </c>
      <c r="B25" s="5" t="inlineStr">
        <is>
          <t>4dc4a8610e946b2d</t>
        </is>
      </c>
      <c r="C25" s="5" t="inlineStr">
        <is>
          <t>semantic-ventures</t>
        </is>
      </c>
      <c r="D25" s="5" t="inlineStr">
        <is>
          <t>Semantic Ventures</t>
        </is>
      </c>
      <c r="E25" s="5" t="inlineStr">
        <is>
          <t>Semantic Ventures</t>
        </is>
      </c>
      <c r="F25" s="5" t="inlineStr">
        <is>
          <t>x10</t>
        </is>
      </c>
      <c r="G25" s="5" t="inlineStr">
        <is>
          <t>X10</t>
        </is>
      </c>
      <c r="H25" s="5" t="inlineStr">
        <is>
          <t>X10</t>
        </is>
      </c>
      <c r="I25" s="5" t="n"/>
      <c r="J25" s="9" t="n">
        <v>45412</v>
      </c>
      <c r="K25" s="9" t="n">
        <v>45412</v>
      </c>
      <c r="L25" s="5" t="n"/>
      <c r="M25" s="5" t="inlineStr">
        <is>
          <t>unknown</t>
        </is>
      </c>
      <c r="N25" s="5" t="inlineStr">
        <is>
          <t>participant</t>
        </is>
      </c>
      <c r="O25" s="10" t="b">
        <v>0</v>
      </c>
      <c r="P25" s="11" t="n">
        <v>6500000</v>
      </c>
      <c r="Q25" s="10" t="n"/>
      <c r="R25" s="5" t="n"/>
      <c r="S25" s="10" t="n"/>
      <c r="T25" s="5" t="inlineStr">
        <is>
          <t>USD</t>
        </is>
      </c>
      <c r="U25" s="11" t="n">
        <v>6500000</v>
      </c>
      <c r="V25" s="5" t="n"/>
      <c r="W25" s="5" t="n"/>
      <c r="X25" s="5" t="n"/>
      <c r="Y25" s="5" t="n"/>
      <c r="Z25" s="10" t="b">
        <v>0</v>
      </c>
      <c r="AA25" s="5" t="n"/>
      <c r="AB25" s="5" t="n"/>
      <c r="AC25" s="10" t="n"/>
      <c r="AD25" s="7" t="inlineStr">
        <is>
          <t>https://www.theblock.co/post/291730/ex-revolut-exec-raises-6-5-million-usd-hybrid-crypto-exchange-x10</t>
        </is>
      </c>
      <c r="AE25" s="10" t="n"/>
      <c r="AF25" s="7" t="inlineStr">
        <is>
          <t>https://crypto-fundraising.info/projects/x10/</t>
        </is>
      </c>
      <c r="AG25" s="9" t="n">
        <v>46249</v>
      </c>
      <c r="AH25" s="5" t="inlineStr">
        <is>
          <t>verified_primary</t>
        </is>
      </c>
      <c r="AI25" s="5" t="inlineStr">
        <is>
          <t>high</t>
        </is>
      </c>
      <c r="AJ25" s="10" t="b">
        <v>0</v>
      </c>
      <c r="AK25" s="12" t="inlineStr">
        <is>
          <t>Tioga Capital Partners; Prelude (ex Cherry Crypto); Starkware; Cyber Fund; Konstantin Lomashuk</t>
        </is>
      </c>
      <c r="AL25" s="12" t="inlineStr">
        <is>
          <t>Bron vermeldde geen rondetype.</t>
        </is>
      </c>
    </row>
    <row r="26">
      <c r="A26" s="5" t="inlineStr">
        <is>
          <t>e88131ab2bfb406d</t>
        </is>
      </c>
      <c r="B26" s="5" t="inlineStr">
        <is>
          <t>28c89544a019dbea</t>
        </is>
      </c>
      <c r="C26" s="5" t="inlineStr">
        <is>
          <t>semantic-ventures</t>
        </is>
      </c>
      <c r="D26" s="5" t="inlineStr">
        <is>
          <t>Semantic Ventures</t>
        </is>
      </c>
      <c r="E26" s="5" t="inlineStr">
        <is>
          <t>Semantic Ventures</t>
        </is>
      </c>
      <c r="F26" s="5" t="inlineStr">
        <is>
          <t>morpho</t>
        </is>
      </c>
      <c r="G26" s="5" t="inlineStr">
        <is>
          <t>Morpho</t>
        </is>
      </c>
      <c r="H26" s="5" t="inlineStr">
        <is>
          <t>Morpho</t>
        </is>
      </c>
      <c r="I26" s="5" t="n"/>
      <c r="J26" s="9" t="n">
        <v>45505</v>
      </c>
      <c r="K26" s="9" t="n">
        <v>45505</v>
      </c>
      <c r="L26" s="5" t="inlineStr">
        <is>
          <t>Strategic</t>
        </is>
      </c>
      <c r="M26" s="5" t="inlineStr">
        <is>
          <t>strategic</t>
        </is>
      </c>
      <c r="N26" s="5" t="inlineStr">
        <is>
          <t>participant</t>
        </is>
      </c>
      <c r="O26" s="10" t="b">
        <v>0</v>
      </c>
      <c r="P26" s="11" t="n">
        <v>50000000</v>
      </c>
      <c r="Q26" s="10" t="n"/>
      <c r="R26" s="5" t="n"/>
      <c r="S26" s="10" t="n"/>
      <c r="T26" s="5" t="inlineStr">
        <is>
          <t>USD</t>
        </is>
      </c>
      <c r="U26" s="11" t="n">
        <v>50000000</v>
      </c>
      <c r="V26" s="5" t="n"/>
      <c r="W26" s="5" t="n"/>
      <c r="X26" s="5" t="n"/>
      <c r="Y26" s="5" t="inlineStr">
        <is>
          <t>MORPHO</t>
        </is>
      </c>
      <c r="Z26" s="10" t="b">
        <v>1</v>
      </c>
      <c r="AA26" s="5" t="n"/>
      <c r="AB26" s="5" t="n"/>
      <c r="AC26" s="10" t="n"/>
      <c r="AD26" s="7" t="inlineStr">
        <is>
          <t>https://www.coindesk.com/business/2024/08/01/crypto-lending-firm-morpho-bags-50m-in-funding-round-led-by-ribbit-capital/</t>
        </is>
      </c>
      <c r="AE26" s="10" t="n"/>
      <c r="AF26" s="7" t="inlineStr">
        <is>
          <t>https://crypto-fundraising.info/projects/morpho/</t>
        </is>
      </c>
      <c r="AG26" s="9" t="n">
        <v>46249</v>
      </c>
      <c r="AH26" s="5" t="inlineStr">
        <is>
          <t>verified_primary</t>
        </is>
      </c>
      <c r="AI26" s="5" t="inlineStr">
        <is>
          <t>high</t>
        </is>
      </c>
      <c r="AJ26" s="10" t="b">
        <v>0</v>
      </c>
      <c r="AK26" s="12" t="inlineStr">
        <is>
          <t>Ribbit Capital; Andreessen Horowitz (a16z crypto); Coinbase Ventures; Variant Fund; Pantera Capital; Brevan Howard Digital; Strobe Ventures (ex BlockTower Capital); Kraken Ventures; Hack VC; IOSG Ventures; RockawayX; L1D (L1 Digital); Mirana Ventures; Prelude (ex Cherry Crypto); Fenbushi Capital; LeadBlock Partners; Robot Ventures</t>
        </is>
      </c>
      <c r="AL26" s="12" t="n"/>
    </row>
    <row r="27">
      <c r="A27" s="5" t="inlineStr">
        <is>
          <t>641d7d595beea359</t>
        </is>
      </c>
      <c r="B27" s="5" t="inlineStr">
        <is>
          <t>3dc4d89a0b08308d</t>
        </is>
      </c>
      <c r="C27" s="5" t="inlineStr">
        <is>
          <t>semantic-ventures</t>
        </is>
      </c>
      <c r="D27" s="5" t="inlineStr">
        <is>
          <t>Semantic Ventures</t>
        </is>
      </c>
      <c r="E27" s="5" t="inlineStr">
        <is>
          <t>Semantic Ventures</t>
        </is>
      </c>
      <c r="F27" s="5" t="inlineStr">
        <is>
          <t>chainbound-bolt</t>
        </is>
      </c>
      <c r="G27" s="5" t="inlineStr">
        <is>
          <t>Chainbound (Bolt)</t>
        </is>
      </c>
      <c r="H27" s="5" t="inlineStr">
        <is>
          <t>Chainbound (Bolt)</t>
        </is>
      </c>
      <c r="I27" s="5" t="n"/>
      <c r="J27" s="9" t="n">
        <v>45530</v>
      </c>
      <c r="K27" s="9" t="n">
        <v>45530</v>
      </c>
      <c r="L27" s="5" t="inlineStr">
        <is>
          <t>Seed</t>
        </is>
      </c>
      <c r="M27" s="5" t="inlineStr">
        <is>
          <t>equity</t>
        </is>
      </c>
      <c r="N27" s="5" t="inlineStr">
        <is>
          <t>participant</t>
        </is>
      </c>
      <c r="O27" s="10" t="b">
        <v>0</v>
      </c>
      <c r="P27" s="11" t="n">
        <v>4600000</v>
      </c>
      <c r="Q27" s="10" t="n"/>
      <c r="R27" s="5" t="n"/>
      <c r="S27" s="10" t="n"/>
      <c r="T27" s="5" t="inlineStr">
        <is>
          <t>USD</t>
        </is>
      </c>
      <c r="U27" s="11" t="n">
        <v>4600000</v>
      </c>
      <c r="V27" s="5" t="n"/>
      <c r="W27" s="5" t="n"/>
      <c r="X27" s="5" t="n"/>
      <c r="Y27" s="5" t="n"/>
      <c r="Z27" s="10" t="b">
        <v>0</v>
      </c>
      <c r="AA27" s="5" t="n"/>
      <c r="AB27" s="5" t="n"/>
      <c r="AC27" s="10" t="n"/>
      <c r="AD27" s="7" t="inlineStr">
        <is>
          <t>https://x.com/chainbound_/status/1828047583090016308</t>
        </is>
      </c>
      <c r="AE27" s="10" t="n"/>
      <c r="AF27" s="7" t="inlineStr">
        <is>
          <t>https://crypto-fundraising.info/projects/chainbound-bolt/</t>
        </is>
      </c>
      <c r="AG27" s="9" t="n">
        <v>46249</v>
      </c>
      <c r="AH27" s="5" t="inlineStr">
        <is>
          <t>verified_primary</t>
        </is>
      </c>
      <c r="AI27" s="5" t="inlineStr">
        <is>
          <t>high</t>
        </is>
      </c>
      <c r="AJ27" s="10" t="b">
        <v>0</v>
      </c>
      <c r="AK27" s="12" t="inlineStr">
        <is>
          <t>Cyber Fund; Maven 11 Capital; Robot Ventures; Anagram; Bankless Ventures; Chorus One; Hasu; Anthony Sassano</t>
        </is>
      </c>
      <c r="AL27" s="12" t="n"/>
    </row>
    <row r="28">
      <c r="A28" s="5" t="inlineStr">
        <is>
          <t>d4653424eac49fce</t>
        </is>
      </c>
      <c r="B28" s="5" t="inlineStr">
        <is>
          <t>380ad97ec1548aba</t>
        </is>
      </c>
      <c r="C28" s="5" t="inlineStr">
        <is>
          <t>semantic-ventures</t>
        </is>
      </c>
      <c r="D28" s="5" t="inlineStr">
        <is>
          <t>Semantic Ventures</t>
        </is>
      </c>
      <c r="E28" s="5" t="inlineStr">
        <is>
          <t>Semantic Ventures</t>
        </is>
      </c>
      <c r="F28" s="5" t="inlineStr">
        <is>
          <t>valantis-labs</t>
        </is>
      </c>
      <c r="G28" s="5" t="inlineStr">
        <is>
          <t>Valantis Labs</t>
        </is>
      </c>
      <c r="H28" s="5" t="inlineStr">
        <is>
          <t>Valantis Labs</t>
        </is>
      </c>
      <c r="I28" s="5" t="n"/>
      <c r="J28" s="9" t="n">
        <v>45536</v>
      </c>
      <c r="K28" s="9" t="n">
        <v>45536</v>
      </c>
      <c r="L28" s="5" t="inlineStr">
        <is>
          <t>Seed</t>
        </is>
      </c>
      <c r="M28" s="5" t="inlineStr">
        <is>
          <t>equity</t>
        </is>
      </c>
      <c r="N28" s="5" t="inlineStr">
        <is>
          <t>participant</t>
        </is>
      </c>
      <c r="O28" s="10" t="b">
        <v>0</v>
      </c>
      <c r="P28" s="11" t="n">
        <v>4000000</v>
      </c>
      <c r="Q28" s="11" t="n">
        <v>40000000</v>
      </c>
      <c r="R28" s="5" t="inlineStr">
        <is>
          <t>unknown</t>
        </is>
      </c>
      <c r="S28" s="10" t="n"/>
      <c r="T28" s="5" t="inlineStr">
        <is>
          <t>USD</t>
        </is>
      </c>
      <c r="U28" s="11" t="n">
        <v>4000000</v>
      </c>
      <c r="V28" s="5" t="n"/>
      <c r="W28" s="5" t="n"/>
      <c r="X28" s="5" t="n"/>
      <c r="Y28" s="5" t="n"/>
      <c r="Z28" s="10" t="b">
        <v>0</v>
      </c>
      <c r="AA28" s="5" t="n"/>
      <c r="AB28" s="5" t="n"/>
      <c r="AC28" s="10" t="n"/>
      <c r="AD28" s="7" t="inlineStr">
        <is>
          <t>https://x.com/valantislabs/status/1859285814821388325</t>
        </is>
      </c>
      <c r="AE28" s="10" t="n"/>
      <c r="AF28" s="7" t="inlineStr">
        <is>
          <t>https://crypto-fundraising.info/projects/valantis-labs/</t>
        </is>
      </c>
      <c r="AG28" s="9" t="n">
        <v>46249</v>
      </c>
      <c r="AH28" s="5" t="inlineStr">
        <is>
          <t>verified_primary</t>
        </is>
      </c>
      <c r="AI28" s="5" t="inlineStr">
        <is>
          <t>high</t>
        </is>
      </c>
      <c r="AJ28" s="10" t="b">
        <v>0</v>
      </c>
      <c r="AK28" s="12" t="inlineStr">
        <is>
          <t>SevenX Ventures; Nethermind; Figment Capital; Robot Ventures; Delphi Ventures; Credibly Neutral; Very Early Ventures; Monoceros Ventures; Dewhales Capital; Sandeep Nailwal</t>
        </is>
      </c>
      <c r="AL28" s="12" t="inlineStr">
        <is>
          <t>Bron gaf alleen maand en jaar; datum staat op de eerste van de maand.</t>
        </is>
      </c>
    </row>
    <row r="29">
      <c r="A29" s="5" t="inlineStr">
        <is>
          <t>5a75245a3f84d1d3</t>
        </is>
      </c>
      <c r="B29" s="5" t="inlineStr">
        <is>
          <t>5ffbe1cbecf831ff</t>
        </is>
      </c>
      <c r="C29" s="5" t="inlineStr">
        <is>
          <t>semantic-ventures</t>
        </is>
      </c>
      <c r="D29" s="5" t="inlineStr">
        <is>
          <t>Semantic Ventures</t>
        </is>
      </c>
      <c r="E29" s="5" t="inlineStr">
        <is>
          <t>Semantic Ventures</t>
        </is>
      </c>
      <c r="F29" s="5" t="inlineStr">
        <is>
          <t>dfns</t>
        </is>
      </c>
      <c r="G29" s="5" t="inlineStr">
        <is>
          <t>Dfns</t>
        </is>
      </c>
      <c r="H29" s="5" t="inlineStr">
        <is>
          <t>Dfns</t>
        </is>
      </c>
      <c r="I29" s="5" t="n"/>
      <c r="J29" s="9" t="n">
        <v>45671</v>
      </c>
      <c r="K29" s="9" t="n">
        <v>45671</v>
      </c>
      <c r="L29" s="5" t="inlineStr">
        <is>
          <t>Series A</t>
        </is>
      </c>
      <c r="M29" s="5" t="inlineStr">
        <is>
          <t>equity</t>
        </is>
      </c>
      <c r="N29" s="5" t="inlineStr">
        <is>
          <t>participant</t>
        </is>
      </c>
      <c r="O29" s="10" t="b">
        <v>0</v>
      </c>
      <c r="P29" s="11" t="n">
        <v>16000000</v>
      </c>
      <c r="Q29" s="10" t="n"/>
      <c r="R29" s="5" t="n"/>
      <c r="S29" s="10" t="n"/>
      <c r="T29" s="5" t="inlineStr">
        <is>
          <t>USD</t>
        </is>
      </c>
      <c r="U29" s="11" t="n">
        <v>16000000</v>
      </c>
      <c r="V29" s="5" t="n"/>
      <c r="W29" s="5" t="n"/>
      <c r="X29" s="5" t="n"/>
      <c r="Y29" s="5" t="n"/>
      <c r="Z29" s="10" t="b">
        <v>0</v>
      </c>
      <c r="AA29" s="5" t="n"/>
      <c r="AB29" s="5" t="n"/>
      <c r="AC29" s="10" t="n"/>
      <c r="AD29" s="7" t="inlineStr">
        <is>
          <t>https://x.com/dfnsHQ/status/1879173512750928058</t>
        </is>
      </c>
      <c r="AE29" s="10" t="n"/>
      <c r="AF29" s="7" t="inlineStr">
        <is>
          <t>https://crypto-fundraising.info/projects/dfns/</t>
        </is>
      </c>
      <c r="AG29" s="9" t="n">
        <v>46249</v>
      </c>
      <c r="AH29" s="5" t="inlineStr">
        <is>
          <t>verified_primary</t>
        </is>
      </c>
      <c r="AI29" s="5" t="inlineStr">
        <is>
          <t>high</t>
        </is>
      </c>
      <c r="AJ29" s="10" t="b">
        <v>0</v>
      </c>
      <c r="AK29" s="12" t="inlineStr">
        <is>
          <t>Further Ventures; Motive Partners; Wintermute Ventures; Motier Ventures; White Star Capital; Bpifrance; Hashed; TechStars</t>
        </is>
      </c>
      <c r="AL29" s="12" t="n"/>
    </row>
    <row r="30">
      <c r="A30" s="5" t="inlineStr">
        <is>
          <t>0db0f96c8e1f7e2a</t>
        </is>
      </c>
      <c r="B30" s="5" t="inlineStr">
        <is>
          <t>35f944561914474c</t>
        </is>
      </c>
      <c r="C30" s="5" t="inlineStr">
        <is>
          <t>semantic-ventures</t>
        </is>
      </c>
      <c r="D30" s="5" t="inlineStr">
        <is>
          <t>Semantic Ventures</t>
        </is>
      </c>
      <c r="E30" s="5" t="inlineStr">
        <is>
          <t>Semantic Ventures</t>
        </is>
      </c>
      <c r="F30" s="5" t="inlineStr">
        <is>
          <t>herd</t>
        </is>
      </c>
      <c r="G30" s="5" t="inlineStr">
        <is>
          <t>Herd</t>
        </is>
      </c>
      <c r="H30" s="5" t="inlineStr">
        <is>
          <t>Herd</t>
        </is>
      </c>
      <c r="I30" s="5" t="n"/>
      <c r="J30" s="9" t="n">
        <v>45689</v>
      </c>
      <c r="K30" s="9" t="n">
        <v>45689</v>
      </c>
      <c r="L30" s="5" t="inlineStr">
        <is>
          <t>Pre-seed</t>
        </is>
      </c>
      <c r="M30" s="5" t="inlineStr">
        <is>
          <t>equity</t>
        </is>
      </c>
      <c r="N30" s="5" t="inlineStr">
        <is>
          <t>lead</t>
        </is>
      </c>
      <c r="O30" s="10" t="b">
        <v>1</v>
      </c>
      <c r="P30" s="11" t="n">
        <v>1800000</v>
      </c>
      <c r="Q30" s="10" t="n"/>
      <c r="R30" s="5" t="n"/>
      <c r="S30" s="10" t="n"/>
      <c r="T30" s="5" t="inlineStr">
        <is>
          <t>USD</t>
        </is>
      </c>
      <c r="U30" s="11" t="n">
        <v>1800000</v>
      </c>
      <c r="V30" s="5" t="n"/>
      <c r="W30" s="5" t="n"/>
      <c r="X30" s="5" t="n"/>
      <c r="Y30" s="5" t="n"/>
      <c r="Z30" s="10" t="b">
        <v>0</v>
      </c>
      <c r="AA30" s="5" t="n"/>
      <c r="AB30" s="5" t="n"/>
      <c r="AC30" s="10" t="n"/>
      <c r="AD30" s="7" t="inlineStr">
        <is>
          <t>https://x.com/herd_eco/status/1886460827034902974</t>
        </is>
      </c>
      <c r="AE30" s="10" t="n"/>
      <c r="AF30" s="7" t="inlineStr">
        <is>
          <t>https://crypto-fundraising.info/projects/herd/</t>
        </is>
      </c>
      <c r="AG30" s="9" t="n">
        <v>46249</v>
      </c>
      <c r="AH30" s="5" t="inlineStr">
        <is>
          <t>verified_primary</t>
        </is>
      </c>
      <c r="AI30" s="5" t="inlineStr">
        <is>
          <t>high</t>
        </is>
      </c>
      <c r="AJ30" s="10" t="b">
        <v>0</v>
      </c>
      <c r="AK30" s="12" t="inlineStr">
        <is>
          <t>Archetype; Will Price; Paul Taylor</t>
        </is>
      </c>
      <c r="AL30" s="12" t="inlineStr">
        <is>
          <t>Bron gaf alleen maand en jaar; datum staat op de eerste van de maand.</t>
        </is>
      </c>
    </row>
    <row r="31">
      <c r="A31" s="5" t="inlineStr">
        <is>
          <t>ea78b682fd1ba962</t>
        </is>
      </c>
      <c r="B31" s="5" t="inlineStr">
        <is>
          <t>51f1e6a058bbf405</t>
        </is>
      </c>
      <c r="C31" s="5" t="inlineStr">
        <is>
          <t>semantic-ventures</t>
        </is>
      </c>
      <c r="D31" s="5" t="inlineStr">
        <is>
          <t>Semantic Ventures</t>
        </is>
      </c>
      <c r="E31" s="5" t="inlineStr">
        <is>
          <t>Semantic Ventures</t>
        </is>
      </c>
      <c r="F31" s="5" t="inlineStr">
        <is>
          <t>due</t>
        </is>
      </c>
      <c r="G31" s="5" t="inlineStr">
        <is>
          <t>Due</t>
        </is>
      </c>
      <c r="H31" s="5" t="inlineStr">
        <is>
          <t>Due</t>
        </is>
      </c>
      <c r="I31" s="5" t="n"/>
      <c r="J31" s="9" t="n">
        <v>45868</v>
      </c>
      <c r="K31" s="9" t="n">
        <v>45868</v>
      </c>
      <c r="L31" s="5" t="inlineStr">
        <is>
          <t>Seed</t>
        </is>
      </c>
      <c r="M31" s="5" t="inlineStr">
        <is>
          <t>equity</t>
        </is>
      </c>
      <c r="N31" s="5" t="inlineStr">
        <is>
          <t>participant</t>
        </is>
      </c>
      <c r="O31" s="10" t="b">
        <v>0</v>
      </c>
      <c r="P31" s="11" t="n">
        <v>4000000</v>
      </c>
      <c r="Q31" s="10" t="n"/>
      <c r="R31" s="5" t="n"/>
      <c r="S31" s="10" t="n"/>
      <c r="T31" s="5" t="inlineStr">
        <is>
          <t>USD</t>
        </is>
      </c>
      <c r="U31" s="11" t="n">
        <v>4000000</v>
      </c>
      <c r="V31" s="5" t="n"/>
      <c r="W31" s="5" t="n"/>
      <c r="X31" s="5" t="n"/>
      <c r="Y31" s="5" t="n"/>
      <c r="Z31" s="10" t="b">
        <v>0</v>
      </c>
      <c r="AA31" s="5" t="n"/>
      <c r="AB31" s="5" t="n"/>
      <c r="AC31" s="10" t="n"/>
      <c r="AD31" s="7" t="inlineStr">
        <is>
          <t>https://x.com/due_network/status/1950469044710043943</t>
        </is>
      </c>
      <c r="AE31" s="10" t="n"/>
      <c r="AF31" s="7" t="inlineStr">
        <is>
          <t>https://crypto-fundraising.info/projects/due/</t>
        </is>
      </c>
      <c r="AG31" s="9" t="n">
        <v>46249</v>
      </c>
      <c r="AH31" s="5" t="inlineStr">
        <is>
          <t>verified_primary</t>
        </is>
      </c>
      <c r="AI31" s="5" t="inlineStr">
        <is>
          <t>high</t>
        </is>
      </c>
      <c r="AJ31" s="10" t="b">
        <v>0</v>
      </c>
      <c r="AK31" s="12" t="inlineStr">
        <is>
          <t>Speedinvest; Fabric Ventures; Strobe Ventures (ex BlockTower Capital); Polymorphic Capital</t>
        </is>
      </c>
      <c r="AL31" s="12" t="n"/>
    </row>
    <row r="32">
      <c r="A32" s="5" t="inlineStr">
        <is>
          <t>7fc701721e4eafed</t>
        </is>
      </c>
      <c r="B32" s="5" t="inlineStr">
        <is>
          <t>1ecd1eaf36be8c4d</t>
        </is>
      </c>
      <c r="C32" s="5" t="inlineStr">
        <is>
          <t>semantic-ventures</t>
        </is>
      </c>
      <c r="D32" s="5" t="inlineStr">
        <is>
          <t>Semantic Ventures</t>
        </is>
      </c>
      <c r="E32" s="5" t="inlineStr">
        <is>
          <t>Semantic Ventures</t>
        </is>
      </c>
      <c r="F32" s="5" t="inlineStr">
        <is>
          <t>ryder</t>
        </is>
      </c>
      <c r="G32" s="5" t="inlineStr">
        <is>
          <t>Ryder</t>
        </is>
      </c>
      <c r="H32" s="5" t="inlineStr">
        <is>
          <t>Ryder</t>
        </is>
      </c>
      <c r="I32" s="5" t="n"/>
      <c r="J32" s="9" t="n">
        <v>45946</v>
      </c>
      <c r="K32" s="9" t="n">
        <v>45946</v>
      </c>
      <c r="L32" s="5" t="inlineStr">
        <is>
          <t>Seed</t>
        </is>
      </c>
      <c r="M32" s="5" t="inlineStr">
        <is>
          <t>equity</t>
        </is>
      </c>
      <c r="N32" s="5" t="inlineStr">
        <is>
          <t>participant</t>
        </is>
      </c>
      <c r="O32" s="10" t="b">
        <v>0</v>
      </c>
      <c r="P32" s="11" t="n">
        <v>3200000</v>
      </c>
      <c r="Q32" s="10" t="n"/>
      <c r="R32" s="5" t="n"/>
      <c r="S32" s="10" t="n"/>
      <c r="T32" s="5" t="inlineStr">
        <is>
          <t>USD</t>
        </is>
      </c>
      <c r="U32" s="11" t="n">
        <v>3200000</v>
      </c>
      <c r="V32" s="5" t="n"/>
      <c r="W32" s="5" t="n"/>
      <c r="X32" s="5" t="n"/>
      <c r="Y32" s="5" t="n"/>
      <c r="Z32" s="10" t="b">
        <v>0</v>
      </c>
      <c r="AA32" s="5" t="n"/>
      <c r="AB32" s="5" t="n"/>
      <c r="AC32" s="10" t="n"/>
      <c r="AD32" s="7" t="inlineStr">
        <is>
          <t>https://x.com/Ryder_ID/status/1978773212260675814</t>
        </is>
      </c>
      <c r="AE32" s="10" t="n"/>
      <c r="AF32" s="7" t="inlineStr">
        <is>
          <t>https://crypto-fundraising.info/projects/ryder/</t>
        </is>
      </c>
      <c r="AG32" s="9" t="n">
        <v>46249</v>
      </c>
      <c r="AH32" s="5" t="inlineStr">
        <is>
          <t>verified_primary</t>
        </is>
      </c>
      <c r="AI32" s="5" t="inlineStr">
        <is>
          <t>high</t>
        </is>
      </c>
      <c r="AJ32" s="10" t="b">
        <v>0</v>
      </c>
      <c r="AK32" s="12" t="inlineStr">
        <is>
          <t>Tim Draper; Borderless Capital; Smape Capital; Very Early Ventures; Reverie; Anatoly Yakovenko; Joe McCann</t>
        </is>
      </c>
      <c r="AL32" s="12" t="n"/>
    </row>
  </sheetData>
  <conditionalFormatting sqref="A2:AL32">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s>
  <pageMargins left="0.75" right="0.75" top="1" bottom="1" header="0.5" footer="0.5"/>
  <tableParts count="1">
    <tablePart xmlns:r="http://schemas.openxmlformats.org/officeDocument/2006/relationships" r:id="rId63"/>
  </tableParts>
</worksheet>
</file>

<file path=xl/worksheets/sheet4.xml><?xml version="1.0" encoding="utf-8"?>
<worksheet xmlns="http://schemas.openxmlformats.org/spreadsheetml/2006/main">
  <sheetPr>
    <outlinePr summaryBelow="1" summaryRight="1"/>
    <pageSetUpPr/>
  </sheetPr>
  <dimension ref="A1:O32"/>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fae80c5b4becb3a3</t>
        </is>
      </c>
      <c r="B2" s="5" t="inlineStr">
        <is>
          <t>messari</t>
        </is>
      </c>
      <c r="C2" s="5" t="inlineStr">
        <is>
          <t>Messari</t>
        </is>
      </c>
      <c r="D2" s="9" t="n">
        <v>43166</v>
      </c>
      <c r="E2" s="5" t="inlineStr">
        <is>
          <t>day</t>
        </is>
      </c>
      <c r="F2" s="5" t="inlineStr">
        <is>
          <t>Seed</t>
        </is>
      </c>
      <c r="G2" s="11" t="n">
        <v>1000000</v>
      </c>
      <c r="H2" s="10" t="n"/>
      <c r="I2" s="6" t="n">
        <v>10</v>
      </c>
      <c r="J2" s="6" t="n">
        <v>0</v>
      </c>
      <c r="K2" s="6" t="n">
        <v>1</v>
      </c>
      <c r="L2" s="5" t="inlineStr">
        <is>
          <t>semantic-ventures</t>
        </is>
      </c>
      <c r="M2" s="7" t="inlineStr">
        <is>
          <t>https://www.coindesk.com/markets/2018/03/07/messari-raises-seed-funding-for-ico-answer-to-edgar/</t>
        </is>
      </c>
      <c r="N2" s="7" t="inlineStr">
        <is>
          <t>https://crypto-fundraising.info/projects/messari/</t>
        </is>
      </c>
      <c r="O2" s="12" t="inlineStr">
        <is>
          <t>DHVC (Danhua Capital); Fabric Ventures; Fenbushi Capital; Underscore VC; Semantic Ventures; Kindred Ventures; Cypher Capital; Rising Tide; SparkLabs Global Ventures; Digital Asset Investment Company</t>
        </is>
      </c>
    </row>
    <row r="3">
      <c r="A3" s="5" t="inlineStr">
        <is>
          <t>a88f96607ee75aff</t>
        </is>
      </c>
      <c r="B3" s="5" t="inlineStr">
        <is>
          <t>starknet</t>
        </is>
      </c>
      <c r="C3" s="5" t="inlineStr">
        <is>
          <t>StarkNet</t>
        </is>
      </c>
      <c r="D3" s="9" t="n">
        <v>43404</v>
      </c>
      <c r="E3" s="5" t="inlineStr">
        <is>
          <t>day</t>
        </is>
      </c>
      <c r="F3" s="5" t="inlineStr">
        <is>
          <t>Series A</t>
        </is>
      </c>
      <c r="G3" s="11" t="n">
        <v>30000000</v>
      </c>
      <c r="H3" s="10" t="n"/>
      <c r="I3" s="6" t="n">
        <v>14</v>
      </c>
      <c r="J3" s="6" t="n">
        <v>2</v>
      </c>
      <c r="K3" s="6" t="n">
        <v>6</v>
      </c>
      <c r="L3" s="5" t="inlineStr">
        <is>
          <t>coinbase-ventures, founders-fund, multicoin-capital, pantera, paradigm, semantic-ventures</t>
        </is>
      </c>
      <c r="M3" s="7" t="inlineStr">
        <is>
          <t>https://marketexclusive.com/israeli-blockchain-startup-starkware-raises-30-million-in-series-a-round-with-funding-from-coinbase-intel-capital/2018/10/</t>
        </is>
      </c>
      <c r="N3" s="7" t="inlineStr">
        <is>
          <t>https://crypto-fundraising.info/projects/starknet/</t>
        </is>
      </c>
      <c r="O3" s="12" t="inlineStr">
        <is>
          <t>Paradigm; Sequoia Capital; Pantera Capital; Multicoin Capital; ConsenSys; Coinbase Ventures; Scalar Capital; Data Collective DCVC; Semantic Ventures; Founders fund; Floodgate; Collaborative Fund; Atomico; Naval Ravikant</t>
        </is>
      </c>
    </row>
    <row r="4">
      <c r="A4" s="5" t="inlineStr">
        <is>
          <t>6c9e5d2c56cd3111</t>
        </is>
      </c>
      <c r="B4" s="5" t="inlineStr">
        <is>
          <t>centrifuge</t>
        </is>
      </c>
      <c r="C4" s="5" t="inlineStr">
        <is>
          <t>Centrifuge</t>
        </is>
      </c>
      <c r="D4" s="9" t="n">
        <v>43767</v>
      </c>
      <c r="E4" s="5" t="inlineStr">
        <is>
          <t>day</t>
        </is>
      </c>
      <c r="F4" s="5" t="n"/>
      <c r="G4" s="11" t="n">
        <v>3700000</v>
      </c>
      <c r="H4" s="10" t="n"/>
      <c r="I4" s="6" t="n">
        <v>5</v>
      </c>
      <c r="J4" s="6" t="n">
        <v>0</v>
      </c>
      <c r="K4" s="6" t="n">
        <v>1</v>
      </c>
      <c r="L4" s="5" t="inlineStr">
        <is>
          <t>semantic-ventures</t>
        </is>
      </c>
      <c r="M4" s="7" t="inlineStr">
        <is>
          <t>https://medium.com/centrifuge/further-acceleration-in-centrifuges-journey-cac316e0d0b2</t>
        </is>
      </c>
      <c r="N4" s="7" t="inlineStr">
        <is>
          <t>https://crypto-fundraising.info/projects/centrifuge/</t>
        </is>
      </c>
      <c r="O4" s="12" t="inlineStr">
        <is>
          <t>Fabric Ventures; BlueYard Capital; Semantic Ventures; Mosaic Ventures; Robert Leshner</t>
        </is>
      </c>
    </row>
    <row r="5">
      <c r="A5" s="5" t="inlineStr">
        <is>
          <t>ab07299eb4a751b0</t>
        </is>
      </c>
      <c r="B5" s="5" t="inlineStr">
        <is>
          <t>sorare</t>
        </is>
      </c>
      <c r="C5" s="5" t="inlineStr">
        <is>
          <t>Sorare</t>
        </is>
      </c>
      <c r="D5" s="9" t="n">
        <v>44028</v>
      </c>
      <c r="E5" s="5" t="inlineStr">
        <is>
          <t>day</t>
        </is>
      </c>
      <c r="F5" s="5" t="inlineStr">
        <is>
          <t>Seed</t>
        </is>
      </c>
      <c r="G5" s="11" t="n">
        <v>4000000</v>
      </c>
      <c r="H5" s="10" t="n"/>
      <c r="I5" s="6" t="n">
        <v>4</v>
      </c>
      <c r="J5" s="6" t="n">
        <v>0</v>
      </c>
      <c r="K5" s="6" t="n">
        <v>1</v>
      </c>
      <c r="L5" s="5" t="inlineStr">
        <is>
          <t>semantic-ventures</t>
        </is>
      </c>
      <c r="M5" s="7" t="inlineStr">
        <is>
          <t>https://medium.com/sorare/our-next-chapter-sorare-raises-a-4m-seed-round-led-by-e-ventures-b8e615bce191</t>
        </is>
      </c>
      <c r="N5" s="7" t="inlineStr">
        <is>
          <t>https://crypto-fundraising.info/projects/sorare/</t>
        </is>
      </c>
      <c r="O5" s="12" t="inlineStr">
        <is>
          <t>Partech; Fabric Ventures; Semantic Ventures; Cygni Capital</t>
        </is>
      </c>
    </row>
    <row r="6">
      <c r="A6" s="5" t="inlineStr">
        <is>
          <t>deec79399732acbb</t>
        </is>
      </c>
      <c r="B6" s="5" t="inlineStr">
        <is>
          <t>async-art</t>
        </is>
      </c>
      <c r="C6" s="5" t="inlineStr">
        <is>
          <t>Async Art</t>
        </is>
      </c>
      <c r="D6" s="9" t="n">
        <v>44245</v>
      </c>
      <c r="E6" s="5" t="inlineStr">
        <is>
          <t>day</t>
        </is>
      </c>
      <c r="F6" s="5" t="inlineStr">
        <is>
          <t>Seed</t>
        </is>
      </c>
      <c r="G6" s="11" t="n">
        <v>2000000</v>
      </c>
      <c r="H6" s="10" t="n"/>
      <c r="I6" s="6" t="n">
        <v>10</v>
      </c>
      <c r="J6" s="6" t="n">
        <v>0</v>
      </c>
      <c r="K6" s="6" t="n">
        <v>2</v>
      </c>
      <c r="L6" s="5" t="inlineStr">
        <is>
          <t>lemniscap, semantic-ventures</t>
        </is>
      </c>
      <c r="M6" s="7" t="inlineStr">
        <is>
          <t>https://edition.async.art/blog/funding-secured</t>
        </is>
      </c>
      <c r="N6" s="7" t="inlineStr">
        <is>
          <t>https://crypto-fundraising.info/projects/async-art/</t>
        </is>
      </c>
      <c r="O6" s="12" t="inlineStr">
        <is>
          <t>Galaxy Digital; THE LAO; Divergence; Collab+Currency; Placeholder; Signum Capital; Lemniscap; Semantic Ventures; Inflection; Blue Wire Capital</t>
        </is>
      </c>
    </row>
    <row r="7">
      <c r="A7" s="5" t="inlineStr">
        <is>
          <t>1817271c9983b70f</t>
        </is>
      </c>
      <c r="B7" s="5" t="inlineStr">
        <is>
          <t>babylon-finance</t>
        </is>
      </c>
      <c r="C7" s="5" t="inlineStr">
        <is>
          <t>Babylon Finance</t>
        </is>
      </c>
      <c r="D7" s="9" t="n">
        <v>44259</v>
      </c>
      <c r="E7" s="5" t="inlineStr">
        <is>
          <t>day</t>
        </is>
      </c>
      <c r="F7" s="5" t="inlineStr">
        <is>
          <t>Seed</t>
        </is>
      </c>
      <c r="G7" s="11" t="n">
        <v>1900000</v>
      </c>
      <c r="H7" s="10" t="n"/>
      <c r="I7" s="6" t="n">
        <v>15</v>
      </c>
      <c r="J7" s="6" t="n">
        <v>0</v>
      </c>
      <c r="K7" s="6" t="n">
        <v>1</v>
      </c>
      <c r="L7" s="5" t="inlineStr">
        <is>
          <t>semantic-ventures</t>
        </is>
      </c>
      <c r="M7" s="7" t="inlineStr">
        <is>
          <t>https://medium.com/babylon-finance/announcing-babl-8f41b58c52c5</t>
        </is>
      </c>
      <c r="N7" s="7" t="inlineStr">
        <is>
          <t>https://crypto-fundraising.info/projects/babylon-finance/</t>
        </is>
      </c>
      <c r="O7" s="12" t="inlineStr">
        <is>
          <t>AngelDAO; CoinList; Dialectic; Cluster Capital; Alliance DAO (ex DeFi Alliance); Semantic Ventures; Block0; Meltem Demirors; Konstantin Lomashuk; Ryon Nixon; MapleLeafCap; Luis Cuende; Tom Shaughnessy; Joseph Young; Harvest.finance</t>
        </is>
      </c>
    </row>
    <row r="8">
      <c r="A8" s="5" t="inlineStr">
        <is>
          <t>aa921a77d77f56e0</t>
        </is>
      </c>
      <c r="B8" s="5" t="inlineStr">
        <is>
          <t>certora</t>
        </is>
      </c>
      <c r="C8" s="5" t="inlineStr">
        <is>
          <t>Certora</t>
        </is>
      </c>
      <c r="D8" s="9" t="n">
        <v>44338</v>
      </c>
      <c r="E8" s="5" t="inlineStr">
        <is>
          <t>day</t>
        </is>
      </c>
      <c r="F8" s="5" t="inlineStr">
        <is>
          <t>Series A</t>
        </is>
      </c>
      <c r="G8" s="11" t="n">
        <v>7200000</v>
      </c>
      <c r="H8" s="10" t="n"/>
      <c r="I8" s="6" t="n">
        <v>12</v>
      </c>
      <c r="J8" s="6" t="n">
        <v>0</v>
      </c>
      <c r="K8" s="6" t="n">
        <v>5</v>
      </c>
      <c r="L8" s="5" t="inlineStr">
        <is>
          <t>coinbase-ventures, electric-capital, framework-ventures, lemniscap, semantic-ventures</t>
        </is>
      </c>
      <c r="M8" s="7" t="inlineStr">
        <is>
          <t>https://twitter.com/certorainc/status/1395765638765940739?s=21</t>
        </is>
      </c>
      <c r="N8" s="7" t="inlineStr">
        <is>
          <t>https://crypto-fundraising.info/projects/certora/</t>
        </is>
      </c>
      <c r="O8" s="12" t="inlineStr">
        <is>
          <t>Electric Capital; A Capital; Balaji Srinivasan; Coinbase Ventures; CoinFund; Framework Ventures; Hypersphere; Lemniscap; Semantic Ventures; Stani Kulechov; VMware; Elad Gil</t>
        </is>
      </c>
    </row>
    <row r="9">
      <c r="A9" s="5" t="inlineStr">
        <is>
          <t>103edf6fd7f70fc2</t>
        </is>
      </c>
      <c r="B9" s="5" t="inlineStr">
        <is>
          <t>superfluid</t>
        </is>
      </c>
      <c r="C9" s="5" t="inlineStr">
        <is>
          <t>Superfluid</t>
        </is>
      </c>
      <c r="D9" s="9" t="n">
        <v>44390</v>
      </c>
      <c r="E9" s="5" t="inlineStr">
        <is>
          <t>day</t>
        </is>
      </c>
      <c r="F9" s="5" t="inlineStr">
        <is>
          <t>Seed</t>
        </is>
      </c>
      <c r="G9" s="11" t="n">
        <v>9000000</v>
      </c>
      <c r="H9" s="10" t="n"/>
      <c r="I9" s="6" t="n">
        <v>15</v>
      </c>
      <c r="J9" s="6" t="n">
        <v>0</v>
      </c>
      <c r="K9" s="6" t="n">
        <v>3</v>
      </c>
      <c r="L9" s="5" t="inlineStr">
        <is>
          <t>delphi-ventures, multicoin-capital, semantic-ventures</t>
        </is>
      </c>
      <c r="M9" s="7" t="inlineStr">
        <is>
          <t>https://medium.com/superfluid-blog/superfluid-raises-9m-to-build-the-real-time-finance-economy-988ed538def1</t>
        </is>
      </c>
      <c r="N9" s="7" t="inlineStr">
        <is>
          <t>https://crypto-fundraising.info/projects/superfluid/</t>
        </is>
      </c>
      <c r="O9" s="12" t="inlineStr">
        <is>
          <t>Balaji Srinivasan; Stani Kulechov; Do Kwon; Multicoin Capital; Semantic Ventures; Delphi Digital; DeFiance Capital; MetaCartel Ventures; Fabric Ventures; THE LAO; Alliance DAO (ex DeFi Alliance); Divergence; AngelDAO; StableNode; White Star Capital</t>
        </is>
      </c>
    </row>
    <row r="10">
      <c r="A10" s="5" t="inlineStr">
        <is>
          <t>be64e029a0fdcde8</t>
        </is>
      </c>
      <c r="B10" s="5" t="inlineStr">
        <is>
          <t>paladin</t>
        </is>
      </c>
      <c r="C10" s="5" t="inlineStr">
        <is>
          <t>Paladin</t>
        </is>
      </c>
      <c r="D10" s="9" t="n">
        <v>44467</v>
      </c>
      <c r="E10" s="5" t="inlineStr">
        <is>
          <t>day</t>
        </is>
      </c>
      <c r="F10" s="5" t="inlineStr">
        <is>
          <t>Seed</t>
        </is>
      </c>
      <c r="G10" s="11" t="n">
        <v>2550000</v>
      </c>
      <c r="H10" s="10" t="n"/>
      <c r="I10" s="6" t="n">
        <v>4</v>
      </c>
      <c r="J10" s="6" t="n">
        <v>1</v>
      </c>
      <c r="K10" s="6" t="n">
        <v>1</v>
      </c>
      <c r="L10" s="5" t="inlineStr">
        <is>
          <t>semantic-ventures</t>
        </is>
      </c>
      <c r="M10" s="7" t="inlineStr">
        <is>
          <t>https://medium.com/paladin-protocol/championing-open-activism-in-decentralized-governance-the-seed-of-paladins-ecosystem-3f6faed60944</t>
        </is>
      </c>
      <c r="N10" s="7" t="inlineStr">
        <is>
          <t>https://crypto-fundraising.info/projects/paladin/</t>
        </is>
      </c>
      <c r="O10" s="12" t="inlineStr">
        <is>
          <t>Greenfield Capital; Galaxy Digital; Semantic Ventures; NFX</t>
        </is>
      </c>
    </row>
    <row r="11">
      <c r="A11" s="5" t="inlineStr">
        <is>
          <t>9af1fb90c6a20d88</t>
        </is>
      </c>
      <c r="B11" s="5" t="inlineStr">
        <is>
          <t>aplo</t>
        </is>
      </c>
      <c r="C11" s="5" t="inlineStr">
        <is>
          <t>Aplo</t>
        </is>
      </c>
      <c r="D11" s="9" t="n">
        <v>44481</v>
      </c>
      <c r="E11" s="5" t="inlineStr">
        <is>
          <t>day</t>
        </is>
      </c>
      <c r="F11" s="5" t="inlineStr">
        <is>
          <t>Series A</t>
        </is>
      </c>
      <c r="G11" s="11" t="n">
        <v>10000000</v>
      </c>
      <c r="H11" s="10" t="n"/>
      <c r="I11" s="6" t="n">
        <v>6</v>
      </c>
      <c r="J11" s="6" t="n">
        <v>0</v>
      </c>
      <c r="K11" s="6" t="n">
        <v>1</v>
      </c>
      <c r="L11" s="5" t="inlineStr">
        <is>
          <t>semantic-ventures</t>
        </is>
      </c>
      <c r="M11" s="7" t="inlineStr">
        <is>
          <t>https://tech.eu/brief/institutional-investor-crypto-trading-platform-sheeldmarket-raises-10-million/</t>
        </is>
      </c>
      <c r="N11" s="7" t="inlineStr">
        <is>
          <t>https://crypto-fundraising.info/projects/aplo/</t>
        </is>
      </c>
      <c r="O11" s="12" t="inlineStr">
        <is>
          <t>Draper Dragon; Atomico; Semantic Ventures; Axeleo Capital; Alexis Bonillo; Pascal Gauthier</t>
        </is>
      </c>
    </row>
    <row r="12">
      <c r="A12" s="5" t="inlineStr">
        <is>
          <t>d1cbd3e9c3384307</t>
        </is>
      </c>
      <c r="B12" s="5" t="inlineStr">
        <is>
          <t>morpho</t>
        </is>
      </c>
      <c r="C12" s="5" t="inlineStr">
        <is>
          <t>Morpho</t>
        </is>
      </c>
      <c r="D12" s="9" t="n">
        <v>44491</v>
      </c>
      <c r="E12" s="5" t="inlineStr">
        <is>
          <t>day</t>
        </is>
      </c>
      <c r="F12" s="5" t="inlineStr">
        <is>
          <t>Seed</t>
        </is>
      </c>
      <c r="G12" s="11" t="n">
        <v>1350000</v>
      </c>
      <c r="H12" s="10" t="n"/>
      <c r="I12" s="6" t="n">
        <v>7</v>
      </c>
      <c r="J12" s="6" t="n">
        <v>2</v>
      </c>
      <c r="K12" s="6" t="n">
        <v>1</v>
      </c>
      <c r="L12" s="5" t="inlineStr">
        <is>
          <t>semantic-ventures</t>
        </is>
      </c>
      <c r="M12" s="7" t="inlineStr">
        <is>
          <t>https://medium.com/morpho-labs/introducing-morpho-93653ed83fba</t>
        </is>
      </c>
      <c r="N12" s="7" t="inlineStr">
        <is>
          <t>https://crypto-fundraising.info/projects/morpho/</t>
        </is>
      </c>
      <c r="O12" s="12" t="inlineStr">
        <is>
          <t>Nascent; Semantic Ventures; AngelDAO; Prelude (ex Cherry Crypto); Stake Capital; ATKA; Faculty Group</t>
        </is>
      </c>
    </row>
    <row r="13">
      <c r="A13" s="5" t="inlineStr">
        <is>
          <t>f1810bd6c8b20a3f</t>
        </is>
      </c>
      <c r="B13" s="5" t="inlineStr">
        <is>
          <t>walletconnect</t>
        </is>
      </c>
      <c r="C13" s="5" t="inlineStr">
        <is>
          <t>WalletConnect (Reown)</t>
        </is>
      </c>
      <c r="D13" s="9" t="n">
        <v>44628</v>
      </c>
      <c r="E13" s="5" t="inlineStr">
        <is>
          <t>day</t>
        </is>
      </c>
      <c r="F13" s="5" t="inlineStr">
        <is>
          <t>Series A</t>
        </is>
      </c>
      <c r="G13" s="11" t="n">
        <v>11000000</v>
      </c>
      <c r="H13" s="10" t="n"/>
      <c r="I13" s="6" t="n">
        <v>6</v>
      </c>
      <c r="J13" s="6" t="n">
        <v>2</v>
      </c>
      <c r="K13" s="6" t="n">
        <v>2</v>
      </c>
      <c r="L13" s="5" t="inlineStr">
        <is>
          <t>coinbase-ventures, semantic-ventures</t>
        </is>
      </c>
      <c r="M13" s="7" t="inlineStr">
        <is>
          <t>https://medium.com/walletconnect/walletconnect-raises-11m-to-build-out-the-messaging-layer-for-web3-740a185bf861</t>
        </is>
      </c>
      <c r="N13" s="7" t="inlineStr">
        <is>
          <t>https://crypto-fundraising.info/projects/walletconnect/</t>
        </is>
      </c>
      <c r="O13" s="12" t="inlineStr">
        <is>
          <t>1kx; Union Square Ventures (USV); Coinbase Ventures; A Capital; Semantic Ventures; Alex Svanevik</t>
        </is>
      </c>
    </row>
    <row r="14">
      <c r="A14" s="5" t="inlineStr">
        <is>
          <t>a739b0a9bec46dea</t>
        </is>
      </c>
      <c r="B14" s="5" t="inlineStr">
        <is>
          <t>dfns</t>
        </is>
      </c>
      <c r="C14" s="5" t="inlineStr">
        <is>
          <t>Dfns</t>
        </is>
      </c>
      <c r="D14" s="9" t="n">
        <v>44668</v>
      </c>
      <c r="E14" s="5" t="inlineStr">
        <is>
          <t>day</t>
        </is>
      </c>
      <c r="F14" s="5" t="inlineStr">
        <is>
          <t>Seed</t>
        </is>
      </c>
      <c r="G14" s="11" t="n">
        <v>13500000</v>
      </c>
      <c r="H14" s="10" t="n"/>
      <c r="I14" s="6" t="n">
        <v>6</v>
      </c>
      <c r="J14" s="6" t="n">
        <v>0</v>
      </c>
      <c r="K14" s="6" t="n">
        <v>2</v>
      </c>
      <c r="L14" s="5" t="inlineStr">
        <is>
          <t>coinbase-ventures, semantic-ventures</t>
        </is>
      </c>
      <c r="M14" s="7" t="inlineStr">
        <is>
          <t>https://www.coindesk.com/business/2022/04/13/dfns-raises-135m-to-build-out-password-protection-for-crypto-wallets/</t>
        </is>
      </c>
      <c r="N14" s="7" t="inlineStr">
        <is>
          <t>https://crypto-fundraising.info/projects/dfns/</t>
        </is>
      </c>
      <c r="O14" s="12" t="inlineStr">
        <is>
          <t>White Star Capital; Hashed; Coinbase Ventures; 6th Man Ventures (6MV); Semantic Ventures; abn amro</t>
        </is>
      </c>
    </row>
    <row r="15">
      <c r="A15" s="5" t="inlineStr">
        <is>
          <t>112a973775f70f32</t>
        </is>
      </c>
      <c r="B15" s="5" t="inlineStr">
        <is>
          <t>cheq</t>
        </is>
      </c>
      <c r="C15" s="5" t="inlineStr">
        <is>
          <t>Cheq</t>
        </is>
      </c>
      <c r="D15" s="9" t="n">
        <v>44684</v>
      </c>
      <c r="E15" s="5" t="inlineStr">
        <is>
          <t>day</t>
        </is>
      </c>
      <c r="F15" s="5" t="inlineStr">
        <is>
          <t>Pre-seed</t>
        </is>
      </c>
      <c r="G15" s="11" t="n">
        <v>2000000</v>
      </c>
      <c r="H15" s="10" t="n"/>
      <c r="I15" s="6" t="n">
        <v>3</v>
      </c>
      <c r="J15" s="6" t="n">
        <v>1</v>
      </c>
      <c r="K15" s="6" t="n">
        <v>1</v>
      </c>
      <c r="L15" s="5" t="inlineStr">
        <is>
          <t>semantic-ventures</t>
        </is>
      </c>
      <c r="M15" s="7" t="inlineStr">
        <is>
          <t>https://techcrunch.com/2022/05/03/cheq-hopes-an-easy-to-use-app-for-stablecoins-will-appeal-to-inflation-wracked-countries/</t>
        </is>
      </c>
      <c r="N15" s="7" t="inlineStr">
        <is>
          <t>https://crypto-fundraising.info/projects/cheq/</t>
        </is>
      </c>
      <c r="O15" s="12" t="inlineStr">
        <is>
          <t>Connect Ventures; Semantic Ventures; Firstminute Capital</t>
        </is>
      </c>
    </row>
    <row r="16">
      <c r="A16" s="5" t="inlineStr">
        <is>
          <t>d71c7a27ea174203</t>
        </is>
      </c>
      <c r="B16" s="5" t="inlineStr">
        <is>
          <t>morpho</t>
        </is>
      </c>
      <c r="C16" s="5" t="inlineStr">
        <is>
          <t>Morpho</t>
        </is>
      </c>
      <c r="D16" s="9" t="n">
        <v>44754</v>
      </c>
      <c r="E16" s="5" t="inlineStr">
        <is>
          <t>day</t>
        </is>
      </c>
      <c r="F16" s="5" t="inlineStr">
        <is>
          <t>Seed</t>
        </is>
      </c>
      <c r="G16" s="11" t="n">
        <v>18000000</v>
      </c>
      <c r="H16" s="10" t="n"/>
      <c r="I16" s="6" t="n">
        <v>20</v>
      </c>
      <c r="J16" s="6" t="n">
        <v>2</v>
      </c>
      <c r="K16" s="6" t="n">
        <v>3</v>
      </c>
      <c r="L16" s="5" t="inlineStr">
        <is>
          <t>a16z-crypto, coinbase-ventures, semantic-ventures</t>
        </is>
      </c>
      <c r="M16" s="7" t="inlineStr">
        <is>
          <t>https://www.theblock.co/post/157089/a16z-and-variant-lead-18-million-round-into-defi-lending-protocol-morpho</t>
        </is>
      </c>
      <c r="N16" s="7" t="inlineStr">
        <is>
          <t>https://crypto-fundraising.info/projects/morpho/</t>
        </is>
      </c>
      <c r="O16" s="12" t="inlineStr">
        <is>
          <t>Andreessen Horowitz (a16z crypto); Variant Fund; Nascent; Semantic Ventures; Mechanism Capital; Spark Capital; Standard Crypto; Coinbase Ventures; Prelude (ex Cherry Crypto); Daedalus; AngelDAO; GSR Markets LTD; Global Coin Research (GCR); ATKA; Nima Capital; Stake Capital; Fasanara Capital; Alven; XAnge VC; Faculty Group</t>
        </is>
      </c>
    </row>
    <row r="17">
      <c r="A17" s="5" t="inlineStr">
        <is>
          <t>7c213eb27ae2e932</t>
        </is>
      </c>
      <c r="B17" s="5" t="inlineStr">
        <is>
          <t>rated</t>
        </is>
      </c>
      <c r="C17" s="5" t="inlineStr">
        <is>
          <t>Rated</t>
        </is>
      </c>
      <c r="D17" s="9" t="n">
        <v>44812</v>
      </c>
      <c r="E17" s="5" t="inlineStr">
        <is>
          <t>day</t>
        </is>
      </c>
      <c r="F17" s="5" t="inlineStr">
        <is>
          <t>Seed</t>
        </is>
      </c>
      <c r="G17" s="11" t="n">
        <v>2500000</v>
      </c>
      <c r="H17" s="10" t="n"/>
      <c r="I17" s="6" t="n">
        <v>5</v>
      </c>
      <c r="J17" s="6" t="n">
        <v>1</v>
      </c>
      <c r="K17" s="6" t="n">
        <v>1</v>
      </c>
      <c r="L17" s="5" t="inlineStr">
        <is>
          <t>semantic-ventures</t>
        </is>
      </c>
      <c r="M17" s="7" t="inlineStr">
        <is>
          <t>https://mirror.xyz/ratedw3b.eth/d27q8fhLvfW1a_cwJf8S4rjrOT2_kX3mmMrTmMvB4wc</t>
        </is>
      </c>
      <c r="N17" s="7" t="inlineStr">
        <is>
          <t>https://crypto-fundraising.info/projects/rated/</t>
        </is>
      </c>
      <c r="O17" s="12" t="inlineStr">
        <is>
          <t>1confirmation; Semantic Ventures; Placeholder; Prelude (ex Cherry Crypto); Decentral Park Capital</t>
        </is>
      </c>
    </row>
    <row r="18">
      <c r="A18" s="5" t="inlineStr">
        <is>
          <t>a7ca7f675710f516</t>
        </is>
      </c>
      <c r="B18" s="5" t="inlineStr">
        <is>
          <t>valory</t>
        </is>
      </c>
      <c r="C18" s="5" t="inlineStr">
        <is>
          <t>Valory</t>
        </is>
      </c>
      <c r="D18" s="9" t="n">
        <v>44847</v>
      </c>
      <c r="E18" s="5" t="inlineStr">
        <is>
          <t>day</t>
        </is>
      </c>
      <c r="F18" s="5" t="inlineStr">
        <is>
          <t>Seed</t>
        </is>
      </c>
      <c r="G18" s="11" t="n">
        <v>4000000</v>
      </c>
      <c r="H18" s="10" t="n"/>
      <c r="I18" s="6" t="n">
        <v>4</v>
      </c>
      <c r="J18" s="6" t="n">
        <v>0</v>
      </c>
      <c r="K18" s="6" t="n">
        <v>1</v>
      </c>
      <c r="L18" s="5" t="inlineStr">
        <is>
          <t>semantic-ventures</t>
        </is>
      </c>
      <c r="M18" s="7" t="inlineStr">
        <is>
          <t>https://siliconangle.com/2022/10/12/valory-raises-4m-unlock-software-driven-autonomy-blockchain-apps/</t>
        </is>
      </c>
      <c r="N18" s="7" t="inlineStr">
        <is>
          <t>https://crypto-fundraising.info/projects/valory/</t>
        </is>
      </c>
      <c r="O18" s="12" t="inlineStr">
        <is>
          <t>True Ventures; Semantic Ventures; PrimeBlock Ventures; ATKA</t>
        </is>
      </c>
    </row>
    <row r="19">
      <c r="A19" s="5" t="inlineStr">
        <is>
          <t>9e3deb8a64b2982e</t>
        </is>
      </c>
      <c r="B19" s="5" t="inlineStr">
        <is>
          <t>texture</t>
        </is>
      </c>
      <c r="C19" s="5" t="inlineStr">
        <is>
          <t>Texture</t>
        </is>
      </c>
      <c r="D19" s="9" t="n">
        <v>44869</v>
      </c>
      <c r="E19" s="5" t="inlineStr">
        <is>
          <t>day</t>
        </is>
      </c>
      <c r="F19" s="5" t="n"/>
      <c r="G19" s="11" t="n">
        <v>5000000</v>
      </c>
      <c r="H19" s="10" t="n"/>
      <c r="I19" s="6" t="n">
        <v>5</v>
      </c>
      <c r="J19" s="6" t="n">
        <v>2</v>
      </c>
      <c r="K19" s="6" t="n">
        <v>1</v>
      </c>
      <c r="L19" s="5" t="inlineStr">
        <is>
          <t>semantic-ventures</t>
        </is>
      </c>
      <c r="M19" s="7" t="inlineStr">
        <is>
          <t>https://www.theblock.co/post/182729/solana-yield-manager-texture-raises-5-million-enters-private-beta</t>
        </is>
      </c>
      <c r="N19" s="7" t="inlineStr">
        <is>
          <t>https://crypto-fundraising.info/projects/texture/</t>
        </is>
      </c>
      <c r="O19" s="12" t="inlineStr">
        <is>
          <t>Ryze Labs (ex SINO Global Capital); P2P Capital; Wintermute Ventures; Semantic Ventures; Jane Street</t>
        </is>
      </c>
    </row>
    <row r="20">
      <c r="A20" s="5" t="inlineStr">
        <is>
          <t>74dfdeef80eeb38a</t>
        </is>
      </c>
      <c r="B20" s="5" t="inlineStr">
        <is>
          <t>neutron</t>
        </is>
      </c>
      <c r="C20" s="5" t="inlineStr">
        <is>
          <t>Neutron</t>
        </is>
      </c>
      <c r="D20" s="9" t="n">
        <v>45098</v>
      </c>
      <c r="E20" s="5" t="inlineStr">
        <is>
          <t>day</t>
        </is>
      </c>
      <c r="F20" s="5" t="n"/>
      <c r="G20" s="11" t="n">
        <v>10000000</v>
      </c>
      <c r="H20" s="11" t="n">
        <v>90000000</v>
      </c>
      <c r="I20" s="6" t="n">
        <v>6</v>
      </c>
      <c r="J20" s="6" t="n">
        <v>2</v>
      </c>
      <c r="K20" s="6" t="n">
        <v>2</v>
      </c>
      <c r="L20" s="5" t="inlineStr">
        <is>
          <t>delphi-ventures, semantic-ventures</t>
        </is>
      </c>
      <c r="M20" s="7" t="inlineStr">
        <is>
          <t>https://www.coindesk.com/business/2023/06/21/binance-labs-coinfund-lead-10m-round-for-smart-contract-infrastructure-firm-neutron/</t>
        </is>
      </c>
      <c r="N20" s="7" t="inlineStr">
        <is>
          <t>https://crypto-fundraising.info/projects/neutron/</t>
        </is>
      </c>
      <c r="O20" s="12" t="inlineStr">
        <is>
          <t>YZi Labs (ex Binance Labs); CoinFund; Delphi Digital; LongHash Ventures; Semantic Ventures; Nomad Capital</t>
        </is>
      </c>
    </row>
    <row r="21">
      <c r="A21" s="5" t="inlineStr">
        <is>
          <t>50489f97bec97d94</t>
        </is>
      </c>
      <c r="B21" s="5" t="inlineStr">
        <is>
          <t>rated</t>
        </is>
      </c>
      <c r="C21" s="5" t="inlineStr">
        <is>
          <t>Rated</t>
        </is>
      </c>
      <c r="D21" s="9" t="n">
        <v>45196</v>
      </c>
      <c r="E21" s="5" t="inlineStr">
        <is>
          <t>day</t>
        </is>
      </c>
      <c r="F21" s="5" t="inlineStr">
        <is>
          <t>Series A</t>
        </is>
      </c>
      <c r="G21" s="11" t="n">
        <v>12888000</v>
      </c>
      <c r="H21" s="10" t="n"/>
      <c r="I21" s="6" t="n">
        <v>9</v>
      </c>
      <c r="J21" s="6" t="n">
        <v>1</v>
      </c>
      <c r="K21" s="6" t="n">
        <v>2</v>
      </c>
      <c r="L21" s="5" t="inlineStr">
        <is>
          <t>robot-ventures, semantic-ventures</t>
        </is>
      </c>
      <c r="M21" s="7" t="inlineStr">
        <is>
          <t>https://twitter.com/ratedw3b/status/1707020071355425149</t>
        </is>
      </c>
      <c r="N21" s="7" t="inlineStr">
        <is>
          <t>https://crypto-fundraising.info/projects/rated/</t>
        </is>
      </c>
      <c r="O21" s="12" t="inlineStr">
        <is>
          <t>Archetype; Placeholder; 1confirmation; Prelude (ex Cherry Crypto); Semantic Ventures; Robot Ventures; Chorus One; Factor Ventures; Maelstrom</t>
        </is>
      </c>
    </row>
    <row r="22">
      <c r="A22" s="5" t="inlineStr">
        <is>
          <t>c8f05e8a2b854517</t>
        </is>
      </c>
      <c r="B22" s="5" t="inlineStr">
        <is>
          <t>due</t>
        </is>
      </c>
      <c r="C22" s="5" t="inlineStr">
        <is>
          <t>Due</t>
        </is>
      </c>
      <c r="D22" s="9" t="n">
        <v>45237</v>
      </c>
      <c r="E22" s="5" t="inlineStr">
        <is>
          <t>day</t>
        </is>
      </c>
      <c r="F22" s="5" t="inlineStr">
        <is>
          <t>Seed</t>
        </is>
      </c>
      <c r="G22" s="11" t="n">
        <v>3300000</v>
      </c>
      <c r="H22" s="10" t="n"/>
      <c r="I22" s="6" t="n">
        <v>11</v>
      </c>
      <c r="J22" s="6" t="n">
        <v>2</v>
      </c>
      <c r="K22" s="6" t="n">
        <v>1</v>
      </c>
      <c r="L22" s="5" t="inlineStr">
        <is>
          <t>semantic-ventures</t>
        </is>
      </c>
      <c r="M22" s="7" t="inlineStr">
        <is>
          <t>https://twitter.com/TheBlock__/status/1721799948893626393</t>
        </is>
      </c>
      <c r="N22" s="7" t="inlineStr">
        <is>
          <t>https://crypto-fundraising.info/projects/due/</t>
        </is>
      </c>
      <c r="O22" s="12" t="inlineStr">
        <is>
          <t>Semantic Ventures; Fabric Ventures; Strobe Ventures (ex BlockTower Capital); Speedinvest; Polymorphic Capital; Discovery Ventures; Itamar Lesuisse; Pavel Karagjaur; Francesco Simoneschi; Mark Ransford; Emil Urmanshin</t>
        </is>
      </c>
    </row>
    <row r="23">
      <c r="A23" s="5" t="inlineStr">
        <is>
          <t>e99bf4950f70b454</t>
        </is>
      </c>
      <c r="B23" s="5" t="inlineStr">
        <is>
          <t>union-labs</t>
        </is>
      </c>
      <c r="C23" s="5" t="inlineStr">
        <is>
          <t>Union Labs</t>
        </is>
      </c>
      <c r="D23" s="9" t="n">
        <v>45246</v>
      </c>
      <c r="E23" s="5" t="inlineStr">
        <is>
          <t>day</t>
        </is>
      </c>
      <c r="F23" s="5" t="inlineStr">
        <is>
          <t>Seed</t>
        </is>
      </c>
      <c r="G23" s="11" t="n">
        <v>4000000</v>
      </c>
      <c r="H23" s="10" t="n"/>
      <c r="I23" s="6" t="n">
        <v>7</v>
      </c>
      <c r="J23" s="6" t="n">
        <v>4</v>
      </c>
      <c r="K23" s="6" t="n">
        <v>1</v>
      </c>
      <c r="L23" s="5" t="inlineStr">
        <is>
          <t>semantic-ventures</t>
        </is>
      </c>
      <c r="M23" s="7" t="inlineStr">
        <is>
          <t>https://twitter.com/union_build/status/1725149230837190866</t>
        </is>
      </c>
      <c r="N23" s="7" t="inlineStr">
        <is>
          <t>https://crypto-fundraising.info/projects/union-labs/</t>
        </is>
      </c>
      <c r="O23" s="12" t="inlineStr">
        <is>
          <t>Galileo; Semantic Ventures; Tioga Capital Partners; Nascent; Lightshift; Chorus One; FounderHeads VC</t>
        </is>
      </c>
    </row>
    <row r="24">
      <c r="A24" s="5" t="inlineStr">
        <is>
          <t>925ddb39afb2cf4f</t>
        </is>
      </c>
      <c r="B24" s="5" t="inlineStr">
        <is>
          <t>fence</t>
        </is>
      </c>
      <c r="C24" s="5" t="inlineStr">
        <is>
          <t>Fence</t>
        </is>
      </c>
      <c r="D24" s="9" t="n">
        <v>45250</v>
      </c>
      <c r="E24" s="5" t="inlineStr">
        <is>
          <t>day</t>
        </is>
      </c>
      <c r="F24" s="5" t="inlineStr">
        <is>
          <t>Pre-seed</t>
        </is>
      </c>
      <c r="G24" s="11" t="n">
        <v>1970000</v>
      </c>
      <c r="H24" s="10" t="n"/>
      <c r="I24" s="6" t="n">
        <v>4</v>
      </c>
      <c r="J24" s="6" t="n">
        <v>1</v>
      </c>
      <c r="K24" s="6" t="n">
        <v>1</v>
      </c>
      <c r="L24" s="5" t="inlineStr">
        <is>
          <t>semantic-ventures</t>
        </is>
      </c>
      <c r="M24" s="7" t="inlineStr">
        <is>
          <t>https://twitter.com/fence_finance/status/1726843615794868510</t>
        </is>
      </c>
      <c r="N24" s="7" t="inlineStr">
        <is>
          <t>https://crypto-fundraising.info/projects/fence/</t>
        </is>
      </c>
      <c r="O24" s="12" t="inlineStr">
        <is>
          <t>Semantic Ventures; Crane Earth; Actyus; Mark Ransford</t>
        </is>
      </c>
    </row>
    <row r="25">
      <c r="A25" s="5" t="inlineStr">
        <is>
          <t>4dc4a8610e946b2d</t>
        </is>
      </c>
      <c r="B25" s="5" t="inlineStr">
        <is>
          <t>x10</t>
        </is>
      </c>
      <c r="C25" s="5" t="inlineStr">
        <is>
          <t>X10</t>
        </is>
      </c>
      <c r="D25" s="9" t="n">
        <v>45412</v>
      </c>
      <c r="E25" s="5" t="inlineStr">
        <is>
          <t>day</t>
        </is>
      </c>
      <c r="F25" s="5" t="n"/>
      <c r="G25" s="11" t="n">
        <v>6500000</v>
      </c>
      <c r="H25" s="10" t="n"/>
      <c r="I25" s="6" t="n">
        <v>6</v>
      </c>
      <c r="J25" s="6" t="n">
        <v>0</v>
      </c>
      <c r="K25" s="6" t="n">
        <v>2</v>
      </c>
      <c r="L25" s="5" t="inlineStr">
        <is>
          <t>cyber-fund, semantic-ventures</t>
        </is>
      </c>
      <c r="M25" s="7" t="inlineStr">
        <is>
          <t>https://www.theblock.co/post/291730/ex-revolut-exec-raises-6-5-million-usd-hybrid-crypto-exchange-x10</t>
        </is>
      </c>
      <c r="N25" s="7" t="inlineStr">
        <is>
          <t>https://crypto-fundraising.info/projects/x10/</t>
        </is>
      </c>
      <c r="O25" s="12" t="inlineStr">
        <is>
          <t>Tioga Capital Partners; Semantic Ventures; Prelude (ex Cherry Crypto); Starkware; Cyber Fund; Konstantin Lomashuk</t>
        </is>
      </c>
    </row>
    <row r="26">
      <c r="A26" s="5" t="inlineStr">
        <is>
          <t>28c89544a019dbea</t>
        </is>
      </c>
      <c r="B26" s="5" t="inlineStr">
        <is>
          <t>morpho</t>
        </is>
      </c>
      <c r="C26" s="5" t="inlineStr">
        <is>
          <t>Morpho</t>
        </is>
      </c>
      <c r="D26" s="9" t="n">
        <v>45505</v>
      </c>
      <c r="E26" s="5" t="inlineStr">
        <is>
          <t>day</t>
        </is>
      </c>
      <c r="F26" s="5" t="inlineStr">
        <is>
          <t>Strategic</t>
        </is>
      </c>
      <c r="G26" s="11" t="n">
        <v>50000000</v>
      </c>
      <c r="H26" s="10" t="n"/>
      <c r="I26" s="6" t="n">
        <v>18</v>
      </c>
      <c r="J26" s="6" t="n">
        <v>1</v>
      </c>
      <c r="K26" s="6" t="n">
        <v>5</v>
      </c>
      <c r="L26" s="5" t="inlineStr">
        <is>
          <t>a16z-crypto, coinbase-ventures, pantera, robot-ventures, semantic-ventures</t>
        </is>
      </c>
      <c r="M26" s="7" t="inlineStr">
        <is>
          <t>https://www.coindesk.com/business/2024/08/01/crypto-lending-firm-morpho-bags-50m-in-funding-round-led-by-ribbit-capital/</t>
        </is>
      </c>
      <c r="N26" s="7" t="inlineStr">
        <is>
          <t>https://crypto-fundraising.info/projects/morpho/</t>
        </is>
      </c>
      <c r="O26" s="12" t="inlineStr">
        <is>
          <t>Ribbit Capital; Andreessen Horowitz (a16z crypto); Coinbase Ventures; Variant Fund; Pantera Capital; Brevan Howard Digital; Strobe Ventures (ex BlockTower Capital); Kraken Ventures; Hack VC; IOSG Ventures; RockawayX; L1D (L1 Digital); Mirana Ventures; Prelude (ex Cherry Crypto); Semantic Ventures; Fenbushi Capital; LeadBlock Partners; Robot Ventures</t>
        </is>
      </c>
    </row>
    <row r="27">
      <c r="A27" s="5" t="inlineStr">
        <is>
          <t>3dc4d89a0b08308d</t>
        </is>
      </c>
      <c r="B27" s="5" t="inlineStr">
        <is>
          <t>chainbound-bolt</t>
        </is>
      </c>
      <c r="C27" s="5" t="inlineStr">
        <is>
          <t>Chainbound (Bolt)</t>
        </is>
      </c>
      <c r="D27" s="9" t="n">
        <v>45530</v>
      </c>
      <c r="E27" s="5" t="inlineStr">
        <is>
          <t>day</t>
        </is>
      </c>
      <c r="F27" s="5" t="inlineStr">
        <is>
          <t>Seed</t>
        </is>
      </c>
      <c r="G27" s="11" t="n">
        <v>4600000</v>
      </c>
      <c r="H27" s="10" t="n"/>
      <c r="I27" s="6" t="n">
        <v>9</v>
      </c>
      <c r="J27" s="6" t="n">
        <v>1</v>
      </c>
      <c r="K27" s="6" t="n">
        <v>4</v>
      </c>
      <c r="L27" s="5" t="inlineStr">
        <is>
          <t>cyber-fund, maven11, robot-ventures, semantic-ventures</t>
        </is>
      </c>
      <c r="M27" s="7" t="inlineStr">
        <is>
          <t>https://x.com/chainbound_/status/1828047583090016308</t>
        </is>
      </c>
      <c r="N27" s="7" t="inlineStr">
        <is>
          <t>https://crypto-fundraising.info/projects/chainbound-bolt/</t>
        </is>
      </c>
      <c r="O27" s="12" t="inlineStr">
        <is>
          <t>Cyber Fund; Maven 11 Capital; Semantic Ventures; Robot Ventures; Anagram; Bankless Ventures; Chorus One; Hasu; Anthony Sassano</t>
        </is>
      </c>
    </row>
    <row r="28">
      <c r="A28" s="5" t="inlineStr">
        <is>
          <t>380ad97ec1548aba</t>
        </is>
      </c>
      <c r="B28" s="5" t="inlineStr">
        <is>
          <t>valantis-labs</t>
        </is>
      </c>
      <c r="C28" s="5" t="inlineStr">
        <is>
          <t>Valantis Labs</t>
        </is>
      </c>
      <c r="D28" s="9" t="n">
        <v>45536</v>
      </c>
      <c r="E28" s="5" t="inlineStr">
        <is>
          <t>month</t>
        </is>
      </c>
      <c r="F28" s="5" t="inlineStr">
        <is>
          <t>Seed</t>
        </is>
      </c>
      <c r="G28" s="11" t="n">
        <v>4000000</v>
      </c>
      <c r="H28" s="11" t="n">
        <v>40000000</v>
      </c>
      <c r="I28" s="6" t="n">
        <v>11</v>
      </c>
      <c r="J28" s="6" t="n">
        <v>1</v>
      </c>
      <c r="K28" s="6" t="n">
        <v>4</v>
      </c>
      <c r="L28" s="5" t="inlineStr">
        <is>
          <t>delphi-ventures, figment-capital, robot-ventures, semantic-ventures</t>
        </is>
      </c>
      <c r="M28" s="7" t="inlineStr">
        <is>
          <t>https://x.com/valantislabs/status/1859285814821388325</t>
        </is>
      </c>
      <c r="N28" s="7" t="inlineStr">
        <is>
          <t>https://crypto-fundraising.info/projects/valantis-labs/</t>
        </is>
      </c>
      <c r="O28" s="12" t="inlineStr">
        <is>
          <t>SevenX Ventures; Nethermind; Figment Capital; Robot Ventures; Semantic Ventures; Delphi Ventures; Credibly Neutral; Very Early Ventures; Monoceros Ventures; Dewhales Capital; Sandeep Nailwal</t>
        </is>
      </c>
    </row>
    <row r="29">
      <c r="A29" s="5" t="inlineStr">
        <is>
          <t>5ffbe1cbecf831ff</t>
        </is>
      </c>
      <c r="B29" s="5" t="inlineStr">
        <is>
          <t>dfns</t>
        </is>
      </c>
      <c r="C29" s="5" t="inlineStr">
        <is>
          <t>Dfns</t>
        </is>
      </c>
      <c r="D29" s="9" t="n">
        <v>45671</v>
      </c>
      <c r="E29" s="5" t="inlineStr">
        <is>
          <t>day</t>
        </is>
      </c>
      <c r="F29" s="5" t="inlineStr">
        <is>
          <t>Series A</t>
        </is>
      </c>
      <c r="G29" s="11" t="n">
        <v>16000000</v>
      </c>
      <c r="H29" s="10" t="n"/>
      <c r="I29" s="6" t="n">
        <v>9</v>
      </c>
      <c r="J29" s="6" t="n">
        <v>1</v>
      </c>
      <c r="K29" s="6" t="n">
        <v>1</v>
      </c>
      <c r="L29" s="5" t="inlineStr">
        <is>
          <t>semantic-ventures</t>
        </is>
      </c>
      <c r="M29" s="7" t="inlineStr">
        <is>
          <t>https://x.com/dfnsHQ/status/1879173512750928058</t>
        </is>
      </c>
      <c r="N29" s="7" t="inlineStr">
        <is>
          <t>https://crypto-fundraising.info/projects/dfns/</t>
        </is>
      </c>
      <c r="O29" s="12" t="inlineStr">
        <is>
          <t>Further Ventures; Motive Partners; Wintermute Ventures; Motier Ventures; White Star Capital; Bpifrance; Hashed; Semantic Ventures; TechStars</t>
        </is>
      </c>
    </row>
    <row r="30">
      <c r="A30" s="5" t="inlineStr">
        <is>
          <t>35f944561914474c</t>
        </is>
      </c>
      <c r="B30" s="5" t="inlineStr">
        <is>
          <t>herd</t>
        </is>
      </c>
      <c r="C30" s="5" t="inlineStr">
        <is>
          <t>Herd</t>
        </is>
      </c>
      <c r="D30" s="9" t="n">
        <v>45689</v>
      </c>
      <c r="E30" s="5" t="inlineStr">
        <is>
          <t>month</t>
        </is>
      </c>
      <c r="F30" s="5" t="inlineStr">
        <is>
          <t>Pre-seed</t>
        </is>
      </c>
      <c r="G30" s="11" t="n">
        <v>1800000</v>
      </c>
      <c r="H30" s="10" t="n"/>
      <c r="I30" s="6" t="n">
        <v>4</v>
      </c>
      <c r="J30" s="6" t="n">
        <v>1</v>
      </c>
      <c r="K30" s="6" t="n">
        <v>1</v>
      </c>
      <c r="L30" s="5" t="inlineStr">
        <is>
          <t>semantic-ventures</t>
        </is>
      </c>
      <c r="M30" s="7" t="inlineStr">
        <is>
          <t>https://x.com/herd_eco/status/1886460827034902974</t>
        </is>
      </c>
      <c r="N30" s="7" t="inlineStr">
        <is>
          <t>https://crypto-fundraising.info/projects/herd/</t>
        </is>
      </c>
      <c r="O30" s="12" t="inlineStr">
        <is>
          <t>Semantic Ventures; Archetype; Will Price; Paul Taylor</t>
        </is>
      </c>
    </row>
    <row r="31">
      <c r="A31" s="5" t="inlineStr">
        <is>
          <t>51f1e6a058bbf405</t>
        </is>
      </c>
      <c r="B31" s="5" t="inlineStr">
        <is>
          <t>due</t>
        </is>
      </c>
      <c r="C31" s="5" t="inlineStr">
        <is>
          <t>Due</t>
        </is>
      </c>
      <c r="D31" s="9" t="n">
        <v>45868</v>
      </c>
      <c r="E31" s="5" t="inlineStr">
        <is>
          <t>day</t>
        </is>
      </c>
      <c r="F31" s="5" t="inlineStr">
        <is>
          <t>Seed</t>
        </is>
      </c>
      <c r="G31" s="11" t="n">
        <v>4000000</v>
      </c>
      <c r="H31" s="10" t="n"/>
      <c r="I31" s="6" t="n">
        <v>5</v>
      </c>
      <c r="J31" s="6" t="n">
        <v>1</v>
      </c>
      <c r="K31" s="6" t="n">
        <v>1</v>
      </c>
      <c r="L31" s="5" t="inlineStr">
        <is>
          <t>semantic-ventures</t>
        </is>
      </c>
      <c r="M31" s="7" t="inlineStr">
        <is>
          <t>https://x.com/due_network/status/1950469044710043943</t>
        </is>
      </c>
      <c r="N31" s="7" t="inlineStr">
        <is>
          <t>https://crypto-fundraising.info/projects/due/</t>
        </is>
      </c>
      <c r="O31" s="12" t="inlineStr">
        <is>
          <t>Speedinvest; Semantic Ventures; Fabric Ventures; Strobe Ventures (ex BlockTower Capital); Polymorphic Capital</t>
        </is>
      </c>
    </row>
    <row r="32">
      <c r="A32" s="5" t="inlineStr">
        <is>
          <t>1ecd1eaf36be8c4d</t>
        </is>
      </c>
      <c r="B32" s="5" t="inlineStr">
        <is>
          <t>ryder</t>
        </is>
      </c>
      <c r="C32" s="5" t="inlineStr">
        <is>
          <t>Ryder</t>
        </is>
      </c>
      <c r="D32" s="9" t="n">
        <v>45946</v>
      </c>
      <c r="E32" s="5" t="inlineStr">
        <is>
          <t>day</t>
        </is>
      </c>
      <c r="F32" s="5" t="inlineStr">
        <is>
          <t>Seed</t>
        </is>
      </c>
      <c r="G32" s="11" t="n">
        <v>3200000</v>
      </c>
      <c r="H32" s="10" t="n"/>
      <c r="I32" s="6" t="n">
        <v>8</v>
      </c>
      <c r="J32" s="6" t="n">
        <v>1</v>
      </c>
      <c r="K32" s="6" t="n">
        <v>1</v>
      </c>
      <c r="L32" s="5" t="inlineStr">
        <is>
          <t>semantic-ventures</t>
        </is>
      </c>
      <c r="M32" s="7" t="inlineStr">
        <is>
          <t>https://x.com/Ryder_ID/status/1978773212260675814</t>
        </is>
      </c>
      <c r="N32" s="7" t="inlineStr">
        <is>
          <t>https://crypto-fundraising.info/projects/ryder/</t>
        </is>
      </c>
      <c r="O32" s="12" t="inlineStr">
        <is>
          <t>Tim Draper; Borderless Capital; Semantic Ventures; Smape Capital; Very Early Ventures; Reverie; Anatoly Yakovenko; Joe McCann</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s>
  <pageMargins left="0.75" right="0.75" top="1" bottom="1" header="0.5" footer="0.5"/>
  <tableParts count="1">
    <tablePart xmlns:r="http://schemas.openxmlformats.org/officeDocument/2006/relationships" r:id="rId63"/>
  </tableParts>
</worksheet>
</file>

<file path=xl/worksheets/sheet5.xml><?xml version="1.0" encoding="utf-8"?>
<worksheet xmlns="http://schemas.openxmlformats.org/spreadsheetml/2006/main">
  <sheetPr>
    <outlinePr summaryBelow="1" summaryRight="1"/>
    <pageSetUpPr/>
  </sheetPr>
  <dimension ref="A1:L27"/>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aplo</t>
        </is>
      </c>
      <c r="B2" s="5" t="inlineStr">
        <is>
          <t>Aplo</t>
        </is>
      </c>
      <c r="C2" s="5" t="n"/>
      <c r="D2" s="10" t="b">
        <v>0</v>
      </c>
      <c r="E2" s="6" t="n">
        <v>1</v>
      </c>
      <c r="F2" s="12" t="inlineStr">
        <is>
          <t>Semantic Ventures</t>
        </is>
      </c>
      <c r="G2" s="6" t="n">
        <v>1</v>
      </c>
      <c r="H2" s="9" t="n">
        <v>44481</v>
      </c>
      <c r="I2" s="9" t="n">
        <v>44481</v>
      </c>
      <c r="J2" s="7" t="inlineStr">
        <is>
          <t>https://www.aplo.io/</t>
        </is>
      </c>
      <c r="K2" s="7" t="inlineStr">
        <is>
          <t>https://crypto-fundraising.info/projects/aplo/</t>
        </is>
      </c>
      <c r="L2" s="12" t="n"/>
    </row>
    <row r="3">
      <c r="A3" s="5" t="inlineStr">
        <is>
          <t>async-art</t>
        </is>
      </c>
      <c r="B3" s="5" t="inlineStr">
        <is>
          <t>Async Art</t>
        </is>
      </c>
      <c r="C3" s="5" t="n"/>
      <c r="D3" s="10" t="b">
        <v>0</v>
      </c>
      <c r="E3" s="6" t="n">
        <v>1</v>
      </c>
      <c r="F3" s="12" t="inlineStr">
        <is>
          <t>Semantic Ventures</t>
        </is>
      </c>
      <c r="G3" s="6" t="n">
        <v>1</v>
      </c>
      <c r="H3" s="9" t="n">
        <v>44245</v>
      </c>
      <c r="I3" s="9" t="n">
        <v>44245</v>
      </c>
      <c r="J3" s="7" t="inlineStr">
        <is>
          <t>https://async.art/</t>
        </is>
      </c>
      <c r="K3" s="7" t="inlineStr">
        <is>
          <t>https://crypto-fundraising.info/projects/async-art/</t>
        </is>
      </c>
      <c r="L3" s="12" t="n"/>
    </row>
    <row r="4">
      <c r="A4" s="5" t="inlineStr">
        <is>
          <t>babylon-finance</t>
        </is>
      </c>
      <c r="B4" s="5" t="inlineStr">
        <is>
          <t>Babylon Finance</t>
        </is>
      </c>
      <c r="C4" s="5" t="inlineStr">
        <is>
          <t>BABL</t>
        </is>
      </c>
      <c r="D4" s="10" t="b">
        <v>1</v>
      </c>
      <c r="E4" s="6" t="n">
        <v>1</v>
      </c>
      <c r="F4" s="12" t="inlineStr">
        <is>
          <t>Semantic Ventures</t>
        </is>
      </c>
      <c r="G4" s="6" t="n">
        <v>1</v>
      </c>
      <c r="H4" s="9" t="n">
        <v>44259</v>
      </c>
      <c r="I4" s="9" t="n">
        <v>44259</v>
      </c>
      <c r="J4" s="7" t="inlineStr">
        <is>
          <t>https://www.babylon.finance/</t>
        </is>
      </c>
      <c r="K4" s="7" t="inlineStr">
        <is>
          <t>https://crypto-fundraising.info/projects/babylon-finance/</t>
        </is>
      </c>
      <c r="L4" s="12" t="n"/>
    </row>
    <row r="5">
      <c r="A5" s="5" t="inlineStr">
        <is>
          <t>centrifuge</t>
        </is>
      </c>
      <c r="B5" s="5" t="inlineStr">
        <is>
          <t>Centrifuge</t>
        </is>
      </c>
      <c r="C5" s="5" t="inlineStr">
        <is>
          <t>CFG</t>
        </is>
      </c>
      <c r="D5" s="10" t="b">
        <v>1</v>
      </c>
      <c r="E5" s="6" t="n">
        <v>1</v>
      </c>
      <c r="F5" s="12" t="inlineStr">
        <is>
          <t>Semantic Ventures</t>
        </is>
      </c>
      <c r="G5" s="6" t="n">
        <v>1</v>
      </c>
      <c r="H5" s="9" t="n">
        <v>43767</v>
      </c>
      <c r="I5" s="9" t="n">
        <v>43767</v>
      </c>
      <c r="J5" s="7" t="inlineStr">
        <is>
          <t>https://tinlake.centrifuge.io/</t>
        </is>
      </c>
      <c r="K5" s="7" t="inlineStr">
        <is>
          <t>https://crypto-fundraising.info/projects/centrifuge/</t>
        </is>
      </c>
      <c r="L5" s="12" t="inlineStr">
        <is>
          <t>The untapped multi-trillion dollar market of real-world assets (RWA) is now entering Decentralized Finance (DeFi) through Centrifuge: the first protocol to connect DeFi to the real-world.</t>
        </is>
      </c>
    </row>
    <row r="6">
      <c r="A6" s="5" t="inlineStr">
        <is>
          <t>certora</t>
        </is>
      </c>
      <c r="B6" s="5" t="inlineStr">
        <is>
          <t>Certora</t>
        </is>
      </c>
      <c r="C6" s="5" t="n"/>
      <c r="D6" s="10" t="b">
        <v>0</v>
      </c>
      <c r="E6" s="6" t="n">
        <v>1</v>
      </c>
      <c r="F6" s="12" t="inlineStr">
        <is>
          <t>Semantic Ventures</t>
        </is>
      </c>
      <c r="G6" s="6" t="n">
        <v>1</v>
      </c>
      <c r="H6" s="9" t="n">
        <v>44338</v>
      </c>
      <c r="I6" s="9" t="n">
        <v>44338</v>
      </c>
      <c r="J6" s="7" t="inlineStr">
        <is>
          <t>https://www.certora.com/</t>
        </is>
      </c>
      <c r="K6" s="7" t="inlineStr">
        <is>
          <t>https://crypto-fundraising.info/projects/certora/</t>
        </is>
      </c>
      <c r="L6" s="12" t="inlineStr">
        <is>
          <t>Certora is a Web3 security and formal verification platform focused on ensuring the correctness and safety of smart contracts. It provides automated formal verification tools that mathematically prove whether blockchain protocols behave as intended under all possible conditions. Used by leading DeFi protocols and blockchain teams, Certora helps detect critical vulnerabilities, logic errors, and ec</t>
        </is>
      </c>
    </row>
    <row r="7">
      <c r="A7" s="5" t="inlineStr">
        <is>
          <t>chainbound-bolt</t>
        </is>
      </c>
      <c r="B7" s="5" t="inlineStr">
        <is>
          <t>Chainbound (Bolt)</t>
        </is>
      </c>
      <c r="C7" s="5" t="n"/>
      <c r="D7" s="10" t="b">
        <v>0</v>
      </c>
      <c r="E7" s="6" t="n">
        <v>1</v>
      </c>
      <c r="F7" s="12" t="inlineStr">
        <is>
          <t>Semantic Ventures</t>
        </is>
      </c>
      <c r="G7" s="6" t="n">
        <v>1</v>
      </c>
      <c r="H7" s="9" t="n">
        <v>45530</v>
      </c>
      <c r="I7" s="9" t="n">
        <v>45530</v>
      </c>
      <c r="J7" s="7" t="inlineStr">
        <is>
          <t>https://boltprotocol.xyz/</t>
        </is>
      </c>
      <c r="K7" s="7" t="inlineStr">
        <is>
          <t>https://crypto-fundraising.info/projects/chainbound-bolt/</t>
        </is>
      </c>
      <c r="L7" s="12" t="inlineStr">
        <is>
          <t>Chainbound is an Ethereum research and development firm focused on enhancing blockchain efficiency. Its flagship product, Bolt, introduces preconfirmations on Ethereum, enabling sub-second transaction confirmations and significantly reducing the typical seven-second wait time. Initially launching on the Helder testnet, Bolt is slated to go live on the Ethereum mainnet by year-end, promising a fast</t>
        </is>
      </c>
    </row>
    <row r="8">
      <c r="A8" s="5" t="inlineStr">
        <is>
          <t>cheq</t>
        </is>
      </c>
      <c r="B8" s="5" t="inlineStr">
        <is>
          <t>Cheq</t>
        </is>
      </c>
      <c r="C8" s="5" t="n"/>
      <c r="D8" s="10" t="b">
        <v>0</v>
      </c>
      <c r="E8" s="6" t="n">
        <v>1</v>
      </c>
      <c r="F8" s="12" t="inlineStr">
        <is>
          <t>Semantic Ventures</t>
        </is>
      </c>
      <c r="G8" s="6" t="n">
        <v>1</v>
      </c>
      <c r="H8" s="9" t="n">
        <v>44684</v>
      </c>
      <c r="I8" s="9" t="n">
        <v>44684</v>
      </c>
      <c r="J8" s="7" t="inlineStr">
        <is>
          <t>https://cheq.xyz/</t>
        </is>
      </c>
      <c r="K8" s="7" t="inlineStr">
        <is>
          <t>https://crypto-fundraising.info/projects/cheq/</t>
        </is>
      </c>
      <c r="L8" s="12" t="n"/>
    </row>
    <row r="9">
      <c r="A9" s="5" t="inlineStr">
        <is>
          <t>dfns</t>
        </is>
      </c>
      <c r="B9" s="5" t="inlineStr">
        <is>
          <t>Dfns</t>
        </is>
      </c>
      <c r="C9" s="5" t="n"/>
      <c r="D9" s="10" t="b">
        <v>0</v>
      </c>
      <c r="E9" s="6" t="n">
        <v>1</v>
      </c>
      <c r="F9" s="12" t="inlineStr">
        <is>
          <t>Semantic Ventures</t>
        </is>
      </c>
      <c r="G9" s="6" t="n">
        <v>2</v>
      </c>
      <c r="H9" s="9" t="n">
        <v>44668</v>
      </c>
      <c r="I9" s="9" t="n">
        <v>45671</v>
      </c>
      <c r="J9" s="7" t="inlineStr">
        <is>
          <t>https://www.dfns.co/</t>
        </is>
      </c>
      <c r="K9" s="7" t="inlineStr">
        <is>
          <t>https://crypto-fundraising.info/projects/dfns/</t>
        </is>
      </c>
      <c r="L9" s="12" t="inlineStr">
        <is>
          <t>Dfns aims to help companies secure digital assets by sharding crypto wallet passwords, known as private keys, and distributing the pieces across a peer-to-peer network.</t>
        </is>
      </c>
    </row>
    <row r="10">
      <c r="A10" s="5" t="inlineStr">
        <is>
          <t>due</t>
        </is>
      </c>
      <c r="B10" s="5" t="inlineStr">
        <is>
          <t>Due</t>
        </is>
      </c>
      <c r="C10" s="5" t="n"/>
      <c r="D10" s="10" t="b">
        <v>0</v>
      </c>
      <c r="E10" s="6" t="n">
        <v>1</v>
      </c>
      <c r="F10" s="12" t="inlineStr">
        <is>
          <t>Semantic Ventures</t>
        </is>
      </c>
      <c r="G10" s="6" t="n">
        <v>2</v>
      </c>
      <c r="H10" s="9" t="n">
        <v>45237</v>
      </c>
      <c r="I10" s="9" t="n">
        <v>45868</v>
      </c>
      <c r="J10" s="7" t="inlineStr">
        <is>
          <t>https://www.opendue.com/</t>
        </is>
      </c>
      <c r="K10" s="7" t="inlineStr">
        <is>
          <t>https://crypto-fundraising.info/projects/due/</t>
        </is>
      </c>
      <c r="L10" s="12" t="inlineStr">
        <is>
          <t>Due is an international payment platform that leverages blockchain protocols to facilitate secure and cost-effective cross-border transactions through non-custodial accounts. By building on Ethereum and utilizing scaling solutions, Due aims to provide uninterrupted access to global liquidity while ensuring faster settlement times and lower transaction costs.</t>
        </is>
      </c>
    </row>
    <row r="11">
      <c r="A11" s="5" t="inlineStr">
        <is>
          <t>fence</t>
        </is>
      </c>
      <c r="B11" s="5" t="inlineStr">
        <is>
          <t>Fence</t>
        </is>
      </c>
      <c r="C11" s="5" t="n"/>
      <c r="D11" s="10" t="b">
        <v>0</v>
      </c>
      <c r="E11" s="6" t="n">
        <v>1</v>
      </c>
      <c r="F11" s="12" t="inlineStr">
        <is>
          <t>Semantic Ventures</t>
        </is>
      </c>
      <c r="G11" s="6" t="n">
        <v>1</v>
      </c>
      <c r="H11" s="9" t="n">
        <v>45250</v>
      </c>
      <c r="I11" s="9" t="n">
        <v>45250</v>
      </c>
      <c r="J11" s="7" t="inlineStr">
        <is>
          <t>https://www.fence.finance/</t>
        </is>
      </c>
      <c r="K11" s="7" t="inlineStr">
        <is>
          <t>https://crypto-fundraising.info/projects/fence/</t>
        </is>
      </c>
      <c r="L11" s="12" t="inlineStr">
        <is>
          <t>Fence Finance is a SaaS platform streamlining debt facility operations for businesses and lenders by automating tasks like reporting and payments across various industries. It enhances efficiency, transparency, and regulatory compliance, allowing businesses to focus on core activities while reducing overhead. Fence Finance's innovative solution provides real-time debt information for investors, im</t>
        </is>
      </c>
    </row>
    <row r="12">
      <c r="A12" s="5" t="inlineStr">
        <is>
          <t>herd</t>
        </is>
      </c>
      <c r="B12" s="5" t="inlineStr">
        <is>
          <t>Herd</t>
        </is>
      </c>
      <c r="C12" s="5" t="n"/>
      <c r="D12" s="10" t="b">
        <v>0</v>
      </c>
      <c r="E12" s="6" t="n">
        <v>1</v>
      </c>
      <c r="F12" s="12" t="inlineStr">
        <is>
          <t>Semantic Ventures</t>
        </is>
      </c>
      <c r="G12" s="6" t="n">
        <v>1</v>
      </c>
      <c r="H12" s="9" t="n">
        <v>45689</v>
      </c>
      <c r="I12" s="9" t="n">
        <v>45689</v>
      </c>
      <c r="J12" s="10" t="n"/>
      <c r="K12" s="7" t="inlineStr">
        <is>
          <t>https://crypto-fundraising.info/projects/herd/</t>
        </is>
      </c>
      <c r="L12" s="12" t="inlineStr">
        <is>
          <t>Herd is developing a collaborative terminal, or “coterminal,” designed to simplify interactions with on-chain contracts. This platform enables users and AI agents to collaboratively search, understand, and compose existing on-chain contracts into both off-chain and on-chain outputs. By enhancing visibility and accessibility of smart contracts, Herd aims to unlock the potential of decentralized app</t>
        </is>
      </c>
    </row>
    <row r="13">
      <c r="A13" s="5" t="inlineStr">
        <is>
          <t>messari</t>
        </is>
      </c>
      <c r="B13" s="5" t="inlineStr">
        <is>
          <t>Messari</t>
        </is>
      </c>
      <c r="C13" s="5" t="n"/>
      <c r="D13" s="10" t="b">
        <v>0</v>
      </c>
      <c r="E13" s="6" t="n">
        <v>1</v>
      </c>
      <c r="F13" s="12" t="inlineStr">
        <is>
          <t>Semantic Ventures</t>
        </is>
      </c>
      <c r="G13" s="6" t="n">
        <v>1</v>
      </c>
      <c r="H13" s="9" t="n">
        <v>43166</v>
      </c>
      <c r="I13" s="9" t="n">
        <v>43166</v>
      </c>
      <c r="J13" s="7" t="inlineStr">
        <is>
          <t>https://messari.io/</t>
        </is>
      </c>
      <c r="K13" s="7" t="inlineStr">
        <is>
          <t>https://crypto-fundraising.info/projects/messari/</t>
        </is>
      </c>
      <c r="L13" s="12" t="inlineStr">
        <is>
          <t>Messari is a cryptocurrency data and analytics firm. It's mission is to promote transparency and smarter decision-making in the cryptoasset community. Their open-source data library helps researchers, investors, and regulators make sense of the industry.</t>
        </is>
      </c>
    </row>
    <row r="14">
      <c r="A14" s="5" t="inlineStr">
        <is>
          <t>morpho</t>
        </is>
      </c>
      <c r="B14" s="5" t="inlineStr">
        <is>
          <t>Morpho</t>
        </is>
      </c>
      <c r="C14" s="5" t="inlineStr">
        <is>
          <t>MORPHO</t>
        </is>
      </c>
      <c r="D14" s="10" t="b">
        <v>1</v>
      </c>
      <c r="E14" s="6" t="n">
        <v>1</v>
      </c>
      <c r="F14" s="12" t="inlineStr">
        <is>
          <t>Semantic Ventures</t>
        </is>
      </c>
      <c r="G14" s="6" t="n">
        <v>3</v>
      </c>
      <c r="H14" s="9" t="n">
        <v>44491</v>
      </c>
      <c r="I14" s="9" t="n">
        <v>45505</v>
      </c>
      <c r="J14" s="7" t="inlineStr">
        <is>
          <t>https://whitepaper.morpho.xyz/</t>
        </is>
      </c>
      <c r="K14" s="7" t="inlineStr">
        <is>
          <t>https://crypto-fundraising.info/projects/morpho/</t>
        </is>
      </c>
      <c r="L14" s="12" t="inlineStr">
        <is>
          <t>Morpho is a DeFi lending protocol built on top of existing protocols that moves loans from liquidity pools into a peer-to-peer mechanism to offer higher yields for investors.</t>
        </is>
      </c>
    </row>
    <row r="15">
      <c r="A15" s="5" t="inlineStr">
        <is>
          <t>neutron</t>
        </is>
      </c>
      <c r="B15" s="5" t="inlineStr">
        <is>
          <t>Neutron</t>
        </is>
      </c>
      <c r="C15" s="5" t="inlineStr">
        <is>
          <t>NTRN</t>
        </is>
      </c>
      <c r="D15" s="10" t="b">
        <v>1</v>
      </c>
      <c r="E15" s="6" t="n">
        <v>1</v>
      </c>
      <c r="F15" s="12" t="inlineStr">
        <is>
          <t>Semantic Ventures</t>
        </is>
      </c>
      <c r="G15" s="6" t="n">
        <v>1</v>
      </c>
      <c r="H15" s="9" t="n">
        <v>45098</v>
      </c>
      <c r="I15" s="9" t="n">
        <v>45098</v>
      </c>
      <c r="J15" s="7" t="inlineStr">
        <is>
          <t>https://docs.neutron.org/</t>
        </is>
      </c>
      <c r="K15" s="7" t="inlineStr">
        <is>
          <t>https://crypto-fundraising.info/projects/neutron/</t>
        </is>
      </c>
      <c r="L15" s="12" t="inlineStr">
        <is>
          <t>Neutron is a cross-chain smart contract platform that uses the Cosmos ecosystem’s interchain security feature, Replicated Security (RS), enabling developers to build smart contracts and decentralized applications (dapps) in a cost-effective and secure environment across a network of interconnected blockchains.</t>
        </is>
      </c>
    </row>
    <row r="16">
      <c r="A16" s="5" t="inlineStr">
        <is>
          <t>paladin</t>
        </is>
      </c>
      <c r="B16" s="5" t="inlineStr">
        <is>
          <t>Paladin</t>
        </is>
      </c>
      <c r="C16" s="5" t="inlineStr">
        <is>
          <t>PAL</t>
        </is>
      </c>
      <c r="D16" s="10" t="b">
        <v>1</v>
      </c>
      <c r="E16" s="6" t="n">
        <v>1</v>
      </c>
      <c r="F16" s="12" t="inlineStr">
        <is>
          <t>Semantic Ventures</t>
        </is>
      </c>
      <c r="G16" s="6" t="n">
        <v>1</v>
      </c>
      <c r="H16" s="9" t="n">
        <v>44467</v>
      </c>
      <c r="I16" s="9" t="n">
        <v>44467</v>
      </c>
      <c r="J16" s="7" t="inlineStr">
        <is>
          <t>https://paladin.vote/#/</t>
        </is>
      </c>
      <c r="K16" s="7" t="inlineStr">
        <is>
          <t>https://crypto-fundraising.info/projects/paladin/</t>
        </is>
      </c>
      <c r="L16" s="12" t="n"/>
    </row>
    <row r="17">
      <c r="A17" s="5" t="inlineStr">
        <is>
          <t>rated</t>
        </is>
      </c>
      <c r="B17" s="5" t="inlineStr">
        <is>
          <t>Rated</t>
        </is>
      </c>
      <c r="C17" s="5" t="n"/>
      <c r="D17" s="10" t="b">
        <v>0</v>
      </c>
      <c r="E17" s="6" t="n">
        <v>1</v>
      </c>
      <c r="F17" s="12" t="inlineStr">
        <is>
          <t>Semantic Ventures</t>
        </is>
      </c>
      <c r="G17" s="6" t="n">
        <v>2</v>
      </c>
      <c r="H17" s="9" t="n">
        <v>44812</v>
      </c>
      <c r="I17" s="9" t="n">
        <v>45196</v>
      </c>
      <c r="J17" s="7" t="inlineStr">
        <is>
          <t>https://docs.rated.network/getting-started/welcome</t>
        </is>
      </c>
      <c r="K17" s="7" t="inlineStr">
        <is>
          <t>https://crypto-fundraising.info/projects/rated/</t>
        </is>
      </c>
      <c r="L17" s="12" t="inlineStr">
        <is>
          <t>Rated is a data analytics and ratings platform that offers insights for Ethereum validators and node operators, aiding users in informed decision-making for delegating their ETH. It assesses factors such as performance, uptime, security, and participation. Rated's ratings are based on a variety of factors, including performance, uptime, security, and participation in the Ethereum network.</t>
        </is>
      </c>
    </row>
    <row r="18">
      <c r="A18" s="5" t="inlineStr">
        <is>
          <t>ryder</t>
        </is>
      </c>
      <c r="B18" s="5" t="inlineStr">
        <is>
          <t>Ryder</t>
        </is>
      </c>
      <c r="C18" s="5" t="n"/>
      <c r="D18" s="10" t="b">
        <v>0</v>
      </c>
      <c r="E18" s="6" t="n">
        <v>1</v>
      </c>
      <c r="F18" s="12" t="inlineStr">
        <is>
          <t>Semantic Ventures</t>
        </is>
      </c>
      <c r="G18" s="6" t="n">
        <v>1</v>
      </c>
      <c r="H18" s="9" t="n">
        <v>45946</v>
      </c>
      <c r="I18" s="9" t="n">
        <v>45946</v>
      </c>
      <c r="J18" s="7" t="inlineStr">
        <is>
          <t>https://www.ryder.id/</t>
        </is>
      </c>
      <c r="K18" s="7" t="inlineStr">
        <is>
          <t>https://crypto-fundraising.info/projects/ryder/</t>
        </is>
      </c>
      <c r="L18" s="12" t="inlineStr">
        <is>
          <t>Ryder is a Web3 company that offers crypto management solutions, including a secure wallet. Ryder's flagship product, the Ryder One hardware wallet, uses a unique TapSafe recovery feature based on the Shamir Secret Sharing (SSS) algorithm, ensuring enhanced security by distributing private keys among a group rather than relying on a single user.</t>
        </is>
      </c>
    </row>
    <row r="19">
      <c r="A19" s="5" t="inlineStr">
        <is>
          <t>sorare</t>
        </is>
      </c>
      <c r="B19" s="5" t="inlineStr">
        <is>
          <t>Sorare</t>
        </is>
      </c>
      <c r="C19" s="5" t="n"/>
      <c r="D19" s="10" t="b">
        <v>0</v>
      </c>
      <c r="E19" s="6" t="n">
        <v>1</v>
      </c>
      <c r="F19" s="12" t="inlineStr">
        <is>
          <t>Semantic Ventures</t>
        </is>
      </c>
      <c r="G19" s="6" t="n">
        <v>1</v>
      </c>
      <c r="H19" s="9" t="n">
        <v>44028</v>
      </c>
      <c r="I19" s="9" t="n">
        <v>44028</v>
      </c>
      <c r="J19" s="7" t="inlineStr">
        <is>
          <t>https://sorare.com/</t>
        </is>
      </c>
      <c r="K19" s="7" t="inlineStr">
        <is>
          <t>https://crypto-fundraising.info/projects/sorare/</t>
        </is>
      </c>
      <c r="L19" s="12" t="inlineStr">
        <is>
          <t>Sorare is a fantasy football emulator built on NFT cards based on the Ethereum cryptocurrency. It provides digital soccer collectibles in collaboration with big-name teams.</t>
        </is>
      </c>
    </row>
    <row r="20">
      <c r="A20" s="5" t="inlineStr">
        <is>
          <t>starknet</t>
        </is>
      </c>
      <c r="B20" s="5" t="inlineStr">
        <is>
          <t>StarkNet</t>
        </is>
      </c>
      <c r="C20" s="5" t="inlineStr">
        <is>
          <t>STRK</t>
        </is>
      </c>
      <c r="D20" s="10" t="b">
        <v>1</v>
      </c>
      <c r="E20" s="6" t="n">
        <v>1</v>
      </c>
      <c r="F20" s="12" t="inlineStr">
        <is>
          <t>Semantic Ventures</t>
        </is>
      </c>
      <c r="G20" s="6" t="n">
        <v>1</v>
      </c>
      <c r="H20" s="9" t="n">
        <v>43404</v>
      </c>
      <c r="I20" s="9" t="n">
        <v>43404</v>
      </c>
      <c r="J20" s="7" t="inlineStr">
        <is>
          <t>https://starkware.co/starknet/</t>
        </is>
      </c>
      <c r="K20" s="7" t="inlineStr">
        <is>
          <t>https://crypto-fundraising.info/projects/starknet/</t>
        </is>
      </c>
      <c r="L20" s="12" t="inlineStr">
        <is>
          <t>StarkNet is a permissionless decentralized Validity-Rollup (also known as a “ZK-Rollup”). It operates as an L2 network over Ethereum, enabling any dApp to achieve unlimited scale for its computation – without compromising Ethereum’s composability and security, thanks to StarkNet’s reliance on the safest and most scalable cryptographic proof system – STARK.</t>
        </is>
      </c>
    </row>
    <row r="21">
      <c r="A21" s="5" t="inlineStr">
        <is>
          <t>superfluid</t>
        </is>
      </c>
      <c r="B21" s="5" t="inlineStr">
        <is>
          <t>Superfluid</t>
        </is>
      </c>
      <c r="C21" s="5" t="inlineStr">
        <is>
          <t>SUP</t>
        </is>
      </c>
      <c r="D21" s="10" t="b">
        <v>1</v>
      </c>
      <c r="E21" s="6" t="n">
        <v>1</v>
      </c>
      <c r="F21" s="12" t="inlineStr">
        <is>
          <t>Semantic Ventures</t>
        </is>
      </c>
      <c r="G21" s="6" t="n">
        <v>1</v>
      </c>
      <c r="H21" s="9" t="n">
        <v>44390</v>
      </c>
      <c r="I21" s="9" t="n">
        <v>44390</v>
      </c>
      <c r="J21" s="7" t="inlineStr">
        <is>
          <t>https://docs.superfluid.finance/</t>
        </is>
      </c>
      <c r="K21" s="7" t="inlineStr">
        <is>
          <t>https://crypto-fundraising.info/projects/superfluid/</t>
        </is>
      </c>
      <c r="L21" s="12" t="inlineStr">
        <is>
          <t>Superfluid is an asset streaming and distribution protocol, empowering DAOs and crypto-native businesses by introducing Super Tokens, a novel extension to the ERC-20 standard. It facilitates dynamic, programmable, and gas-efficient token transfers in real-time, supporting features like Money Streaming for continuous token flow and Distributions for scalable one-to-many fund transfers.</t>
        </is>
      </c>
    </row>
    <row r="22">
      <c r="A22" s="5" t="inlineStr">
        <is>
          <t>texture</t>
        </is>
      </c>
      <c r="B22" s="5" t="inlineStr">
        <is>
          <t>Texture</t>
        </is>
      </c>
      <c r="C22" s="5" t="n"/>
      <c r="D22" s="10" t="b">
        <v>0</v>
      </c>
      <c r="E22" s="6" t="n">
        <v>1</v>
      </c>
      <c r="F22" s="12" t="inlineStr">
        <is>
          <t>Semantic Ventures</t>
        </is>
      </c>
      <c r="G22" s="6" t="n">
        <v>1</v>
      </c>
      <c r="H22" s="9" t="n">
        <v>44869</v>
      </c>
      <c r="I22" s="9" t="n">
        <v>44869</v>
      </c>
      <c r="J22" s="7" t="inlineStr">
        <is>
          <t>https://texture.gitbook.io/texture-finance/</t>
        </is>
      </c>
      <c r="K22" s="7" t="inlineStr">
        <is>
          <t>https://crypto-fundraising.info/projects/texture/</t>
        </is>
      </c>
      <c r="L22" s="12" t="inlineStr">
        <is>
          <t>Texture is a DeFi yield platform running on the Solana blockchain. Its first product provides higher yields to those looking to stake their SOL tokens. It is using a leveraged staking strategy to achieve this, similar to tokens on Ethereum like the Interest Compounding ETH Index (icETH) and the ETH Max Yield Index (ETHMAXY).</t>
        </is>
      </c>
    </row>
    <row r="23">
      <c r="A23" s="5" t="inlineStr">
        <is>
          <t>union-labs</t>
        </is>
      </c>
      <c r="B23" s="5" t="inlineStr">
        <is>
          <t>Union Labs</t>
        </is>
      </c>
      <c r="C23" s="5" t="inlineStr">
        <is>
          <t>U</t>
        </is>
      </c>
      <c r="D23" s="10" t="b">
        <v>1</v>
      </c>
      <c r="E23" s="6" t="n">
        <v>1</v>
      </c>
      <c r="F23" s="12" t="inlineStr">
        <is>
          <t>Semantic Ventures</t>
        </is>
      </c>
      <c r="G23" s="6" t="n">
        <v>1</v>
      </c>
      <c r="H23" s="9" t="n">
        <v>45246</v>
      </c>
      <c r="I23" s="9" t="n">
        <v>45246</v>
      </c>
      <c r="J23" s="7" t="inlineStr">
        <is>
          <t>https://docs.union.build/</t>
        </is>
      </c>
      <c r="K23" s="7" t="inlineStr">
        <is>
          <t>https://crypto-fundraising.info/projects/union-labs/</t>
        </is>
      </c>
      <c r="L23" s="12" t="inlineStr">
        <is>
          <t>Union Labs is a blockchain interoperability developer creating a cross-chain bridge using zero-knowledge proofs. The Union network serves as an efficient zero-knowledge infrastructure layer for various applications, including message passing, asset transfers, NFTs, and DeFi. It prioritizes speed, security, future-proofing, and user-friendliness with a high-level API for developers.</t>
        </is>
      </c>
    </row>
    <row r="24">
      <c r="A24" s="5" t="inlineStr">
        <is>
          <t>valantis-labs</t>
        </is>
      </c>
      <c r="B24" s="5" t="inlineStr">
        <is>
          <t>Valantis Labs</t>
        </is>
      </c>
      <c r="C24" s="5" t="n"/>
      <c r="D24" s="10" t="b">
        <v>0</v>
      </c>
      <c r="E24" s="6" t="n">
        <v>1</v>
      </c>
      <c r="F24" s="12" t="inlineStr">
        <is>
          <t>Semantic Ventures</t>
        </is>
      </c>
      <c r="G24" s="6" t="n">
        <v>1</v>
      </c>
      <c r="H24" s="9" t="n">
        <v>45536</v>
      </c>
      <c r="I24" s="9" t="n">
        <v>45536</v>
      </c>
      <c r="J24" s="10" t="n"/>
      <c r="K24" s="7" t="inlineStr">
        <is>
          <t>https://crypto-fundraising.info/projects/valantis-labs/</t>
        </is>
      </c>
      <c r="L24" s="12" t="inlineStr">
        <is>
          <t>Valantis is a modular decentralized exchange (DEX) platform designed to allow developers to build customized on-chain liquidity infrastructure efficiently. It supports tools for creating bespoke trading environments using pre-built modules, offering flexibility for DeFi applications. With deep integration into Web3 ecosystems, Valantis facilitates secure and scalable trading for developers and use</t>
        </is>
      </c>
    </row>
    <row r="25">
      <c r="A25" s="5" t="inlineStr">
        <is>
          <t>valory</t>
        </is>
      </c>
      <c r="B25" s="5" t="inlineStr">
        <is>
          <t>Valory</t>
        </is>
      </c>
      <c r="C25" s="5" t="n"/>
      <c r="D25" s="10" t="b">
        <v>0</v>
      </c>
      <c r="E25" s="6" t="n">
        <v>1</v>
      </c>
      <c r="F25" s="12" t="inlineStr">
        <is>
          <t>Semantic Ventures</t>
        </is>
      </c>
      <c r="G25" s="6" t="n">
        <v>1</v>
      </c>
      <c r="H25" s="9" t="n">
        <v>44847</v>
      </c>
      <c r="I25" s="9" t="n">
        <v>44847</v>
      </c>
      <c r="J25" s="7" t="inlineStr">
        <is>
          <t>https://www.valory.xyz/</t>
        </is>
      </c>
      <c r="K25" s="7" t="inlineStr">
        <is>
          <t>https://crypto-fundraising.info/projects/valory/</t>
        </is>
      </c>
      <c r="L25" s="12" t="inlineStr">
        <is>
          <t>Valory is the developer of autonomous software systems.</t>
        </is>
      </c>
    </row>
    <row r="26">
      <c r="A26" s="5" t="inlineStr">
        <is>
          <t>walletconnect</t>
        </is>
      </c>
      <c r="B26" s="5" t="inlineStr">
        <is>
          <t>WalletConnect (Reown)</t>
        </is>
      </c>
      <c r="C26" s="5" t="inlineStr">
        <is>
          <t>WCT</t>
        </is>
      </c>
      <c r="D26" s="10" t="b">
        <v>1</v>
      </c>
      <c r="E26" s="6" t="n">
        <v>1</v>
      </c>
      <c r="F26" s="12" t="inlineStr">
        <is>
          <t>Semantic Ventures</t>
        </is>
      </c>
      <c r="G26" s="6" t="n">
        <v>1</v>
      </c>
      <c r="H26" s="9" t="n">
        <v>44628</v>
      </c>
      <c r="I26" s="9" t="n">
        <v>44628</v>
      </c>
      <c r="J26" s="7" t="inlineStr">
        <is>
          <t>https://docs.reown.com/</t>
        </is>
      </c>
      <c r="K26" s="7" t="inlineStr">
        <is>
          <t>https://crypto-fundraising.info/projects/walletconnect/</t>
        </is>
      </c>
      <c r="L26" s="12" t="inlineStr">
        <is>
          <t>Reown is the onchain UX platform and builder of the WalletConnect Network. WalletConnect is an on-chain user experience (UX) ecosystem that facilitates seamless connections between wallets, decentralized applications (dApps), and users. The platform introduces the WalletConnect Token (WCT), which secures the network through staking, rewards, fees, and governance. Additionally, WalletConnect offers</t>
        </is>
      </c>
    </row>
    <row r="27">
      <c r="A27" s="5" t="inlineStr">
        <is>
          <t>x10</t>
        </is>
      </c>
      <c r="B27" s="5" t="inlineStr">
        <is>
          <t>X10</t>
        </is>
      </c>
      <c r="C27" s="5" t="n"/>
      <c r="D27" s="10" t="b">
        <v>0</v>
      </c>
      <c r="E27" s="6" t="n">
        <v>1</v>
      </c>
      <c r="F27" s="12" t="inlineStr">
        <is>
          <t>Semantic Ventures</t>
        </is>
      </c>
      <c r="G27" s="6" t="n">
        <v>1</v>
      </c>
      <c r="H27" s="9" t="n">
        <v>45412</v>
      </c>
      <c r="I27" s="9" t="n">
        <v>45412</v>
      </c>
      <c r="J27" s="7" t="inlineStr">
        <is>
          <t>https://x10.exchange/</t>
        </is>
      </c>
      <c r="K27" s="7" t="inlineStr">
        <is>
          <t>https://crypto-fundraising.info/projects/x10/</t>
        </is>
      </c>
      <c r="L27" s="12" t="inlineStr">
        <is>
          <t>X10 is a hybrid cryptocurrency exchange that combines the speed and functionality of centralized exchanges with the security and transparency of decentralized exchanges. By leveraging the StarkEx Layer 2 engine for on-chain settlement and independent oracle price providers for accurate market pricing, X10 aims to provide users with improved latency, throughput, and liquidity while maintaining self</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K12" r:id="rId21"/>
    <hyperlink xmlns:r="http://schemas.openxmlformats.org/officeDocument/2006/relationships" ref="J13" r:id="rId22"/>
    <hyperlink xmlns:r="http://schemas.openxmlformats.org/officeDocument/2006/relationships" ref="K13" r:id="rId23"/>
    <hyperlink xmlns:r="http://schemas.openxmlformats.org/officeDocument/2006/relationships" ref="J14" r:id="rId24"/>
    <hyperlink xmlns:r="http://schemas.openxmlformats.org/officeDocument/2006/relationships" ref="K14" r:id="rId25"/>
    <hyperlink xmlns:r="http://schemas.openxmlformats.org/officeDocument/2006/relationships" ref="J15" r:id="rId26"/>
    <hyperlink xmlns:r="http://schemas.openxmlformats.org/officeDocument/2006/relationships" ref="K15" r:id="rId27"/>
    <hyperlink xmlns:r="http://schemas.openxmlformats.org/officeDocument/2006/relationships" ref="J16" r:id="rId28"/>
    <hyperlink xmlns:r="http://schemas.openxmlformats.org/officeDocument/2006/relationships" ref="K16" r:id="rId29"/>
    <hyperlink xmlns:r="http://schemas.openxmlformats.org/officeDocument/2006/relationships" ref="J17" r:id="rId30"/>
    <hyperlink xmlns:r="http://schemas.openxmlformats.org/officeDocument/2006/relationships" ref="K17" r:id="rId31"/>
    <hyperlink xmlns:r="http://schemas.openxmlformats.org/officeDocument/2006/relationships" ref="J18" r:id="rId32"/>
    <hyperlink xmlns:r="http://schemas.openxmlformats.org/officeDocument/2006/relationships" ref="K18" r:id="rId33"/>
    <hyperlink xmlns:r="http://schemas.openxmlformats.org/officeDocument/2006/relationships" ref="J19" r:id="rId34"/>
    <hyperlink xmlns:r="http://schemas.openxmlformats.org/officeDocument/2006/relationships" ref="K19" r:id="rId35"/>
    <hyperlink xmlns:r="http://schemas.openxmlformats.org/officeDocument/2006/relationships" ref="J20" r:id="rId36"/>
    <hyperlink xmlns:r="http://schemas.openxmlformats.org/officeDocument/2006/relationships" ref="K20" r:id="rId37"/>
    <hyperlink xmlns:r="http://schemas.openxmlformats.org/officeDocument/2006/relationships" ref="J21" r:id="rId38"/>
    <hyperlink xmlns:r="http://schemas.openxmlformats.org/officeDocument/2006/relationships" ref="K21" r:id="rId39"/>
    <hyperlink xmlns:r="http://schemas.openxmlformats.org/officeDocument/2006/relationships" ref="J22" r:id="rId40"/>
    <hyperlink xmlns:r="http://schemas.openxmlformats.org/officeDocument/2006/relationships" ref="K22" r:id="rId41"/>
    <hyperlink xmlns:r="http://schemas.openxmlformats.org/officeDocument/2006/relationships" ref="J23" r:id="rId42"/>
    <hyperlink xmlns:r="http://schemas.openxmlformats.org/officeDocument/2006/relationships" ref="K23" r:id="rId43"/>
    <hyperlink xmlns:r="http://schemas.openxmlformats.org/officeDocument/2006/relationships" ref="K24" r:id="rId44"/>
    <hyperlink xmlns:r="http://schemas.openxmlformats.org/officeDocument/2006/relationships" ref="J25" r:id="rId45"/>
    <hyperlink xmlns:r="http://schemas.openxmlformats.org/officeDocument/2006/relationships" ref="K25" r:id="rId46"/>
    <hyperlink xmlns:r="http://schemas.openxmlformats.org/officeDocument/2006/relationships" ref="J26" r:id="rId47"/>
    <hyperlink xmlns:r="http://schemas.openxmlformats.org/officeDocument/2006/relationships" ref="K26" r:id="rId48"/>
    <hyperlink xmlns:r="http://schemas.openxmlformats.org/officeDocument/2006/relationships" ref="J27" r:id="rId49"/>
    <hyperlink xmlns:r="http://schemas.openxmlformats.org/officeDocument/2006/relationships" ref="K27" r:id="rId50"/>
  </hyperlinks>
  <pageMargins left="0.75" right="0.75" top="1" bottom="1" header="0.5" footer="0.5"/>
  <tableParts count="1">
    <tablePart xmlns:r="http://schemas.openxmlformats.org/officeDocument/2006/relationships" r:id="rId51"/>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semantic-ventures</t>
        </is>
      </c>
      <c r="B2" s="5" t="inlineStr">
        <is>
          <t>Semantic Ventures</t>
        </is>
      </c>
      <c r="C2" s="6" t="n">
        <v>26</v>
      </c>
      <c r="D2" s="6" t="n">
        <v>31</v>
      </c>
      <c r="E2" s="6" t="n">
        <v>10</v>
      </c>
      <c r="F2" s="12" t="inlineStr">
        <is>
          <t>Fondspagina toont een vast maximum aantal regels; dit is een displaylimiet en geen portefeuilletotaal.</t>
        </is>
      </c>
      <c r="G2" s="6" t="n"/>
      <c r="H2" s="12" t="inlineStr">
        <is>
          <t>Pagina levert geen leesbare portefeuillelijst in statische HTML (client-side gerenderd). Niet geteld; geen schatting gemaakt.</t>
        </is>
      </c>
      <c r="I2" s="6" t="n"/>
      <c r="J2" s="12" t="inlineStr">
        <is>
          <t>Geen telling verkregen; niet geschat.</t>
        </is>
      </c>
      <c r="K2" s="6" t="n">
        <v>28</v>
      </c>
      <c r="L2" s="12" t="inlineStr">
        <is>
          <t>`investments` is CryptoRanks eigen telling. De zichtbare portefeuillelijst toont zonder account maar tien regels; die lijst is niet gebruikt.</t>
        </is>
      </c>
      <c r="M2" s="6" t="n">
        <v>-2</v>
      </c>
      <c r="N2" s="12" t="inlineStr">
        <is>
          <t>Volledig binnen de publiek toegankelijke en genoemde bronnen op de peildatum. Niet-aangekondigde rondes, secundaire transacties, liquide marktposities en investeerders die in persberichten onder 'others' vallen, blijven structureel onzichtbaar.</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61"/>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7" t="inlineStr">
        <is>
          <t>https://www.semantic.vc/</t>
        </is>
      </c>
      <c r="B2" s="12" t="inlineStr">
        <is>
          <t>portfoliopagina fonds (controlelijst)</t>
        </is>
      </c>
      <c r="C2" s="6" t="n">
        <v>2</v>
      </c>
      <c r="D2" s="9" t="n">
        <v>46249</v>
      </c>
      <c r="E2" s="12" t="inlineStr">
        <is>
          <t>Semantic Ventures</t>
        </is>
      </c>
    </row>
    <row r="3">
      <c r="A3" s="7" t="inlineStr">
        <is>
          <t>https://edition.async.art/blog/funding-secured</t>
        </is>
      </c>
      <c r="B3" s="12" t="inlineStr">
        <is>
          <t>oorspronkelijke aankondiging of persbericht</t>
        </is>
      </c>
      <c r="C3" s="6" t="n">
        <v>4</v>
      </c>
      <c r="D3" s="9" t="n">
        <v>46249</v>
      </c>
      <c r="E3" s="12" t="inlineStr">
        <is>
          <t>Async Art — 2021-02-18</t>
        </is>
      </c>
    </row>
    <row r="4">
      <c r="A4" s="7" t="inlineStr">
        <is>
          <t>https://marketexclusive.com/israeli-blockchain-startup-starkware-raises-30-million-in-series-a-round-with-funding-from-coinbase-intel-capital/2018/10/</t>
        </is>
      </c>
      <c r="B4" s="12" t="inlineStr">
        <is>
          <t>oorspronkelijke aankondiging of persbericht</t>
        </is>
      </c>
      <c r="C4" s="6" t="n">
        <v>4</v>
      </c>
      <c r="D4" s="9" t="n">
        <v>46249</v>
      </c>
      <c r="E4" s="12" t="inlineStr">
        <is>
          <t>StarkNet — 2018-10-31</t>
        </is>
      </c>
    </row>
    <row r="5">
      <c r="A5" s="7" t="inlineStr">
        <is>
          <t>https://medium.com/babylon-finance/announcing-babl-8f41b58c52c5</t>
        </is>
      </c>
      <c r="B5" s="12" t="inlineStr">
        <is>
          <t>oorspronkelijke aankondiging of persbericht</t>
        </is>
      </c>
      <c r="C5" s="6" t="n">
        <v>4</v>
      </c>
      <c r="D5" s="9" t="n">
        <v>46249</v>
      </c>
      <c r="E5" s="12" t="inlineStr">
        <is>
          <t>Babylon Finance — 2021-03-04</t>
        </is>
      </c>
    </row>
    <row r="6">
      <c r="A6" s="7" t="inlineStr">
        <is>
          <t>https://medium.com/centrifuge/further-acceleration-in-centrifuges-journey-cac316e0d0b2</t>
        </is>
      </c>
      <c r="B6" s="12" t="inlineStr">
        <is>
          <t>oorspronkelijke aankondiging of persbericht</t>
        </is>
      </c>
      <c r="C6" s="6" t="n">
        <v>4</v>
      </c>
      <c r="D6" s="9" t="n">
        <v>46249</v>
      </c>
      <c r="E6" s="12" t="inlineStr">
        <is>
          <t>Centrifuge — 2019-10-29</t>
        </is>
      </c>
    </row>
    <row r="7">
      <c r="A7" s="7" t="inlineStr">
        <is>
          <t>https://medium.com/morpho-labs/introducing-morpho-93653ed83fba</t>
        </is>
      </c>
      <c r="B7" s="12" t="inlineStr">
        <is>
          <t>oorspronkelijke aankondiging of persbericht</t>
        </is>
      </c>
      <c r="C7" s="6" t="n">
        <v>4</v>
      </c>
      <c r="D7" s="9" t="n">
        <v>46249</v>
      </c>
      <c r="E7" s="12" t="inlineStr">
        <is>
          <t>Morpho — 2021-10-22</t>
        </is>
      </c>
    </row>
    <row r="8">
      <c r="A8" s="7" t="inlineStr">
        <is>
          <t>https://medium.com/paladin-protocol/championing-open-activism-in-decentralized-governance-the-seed-of-paladins-ecosystem-3f6faed60944</t>
        </is>
      </c>
      <c r="B8" s="12" t="inlineStr">
        <is>
          <t>oorspronkelijke aankondiging of persbericht</t>
        </is>
      </c>
      <c r="C8" s="6" t="n">
        <v>4</v>
      </c>
      <c r="D8" s="9" t="n">
        <v>46249</v>
      </c>
      <c r="E8" s="12" t="inlineStr">
        <is>
          <t>Paladin — 2021-09-28</t>
        </is>
      </c>
    </row>
    <row r="9">
      <c r="A9" s="7" t="inlineStr">
        <is>
          <t>https://medium.com/sorare/our-next-chapter-sorare-raises-a-4m-seed-round-led-by-e-ventures-b8e615bce191</t>
        </is>
      </c>
      <c r="B9" s="12" t="inlineStr">
        <is>
          <t>oorspronkelijke aankondiging of persbericht</t>
        </is>
      </c>
      <c r="C9" s="6" t="n">
        <v>4</v>
      </c>
      <c r="D9" s="9" t="n">
        <v>46249</v>
      </c>
      <c r="E9" s="12" t="inlineStr">
        <is>
          <t>Sorare — 2020-07-16</t>
        </is>
      </c>
    </row>
    <row r="10">
      <c r="A10" s="7" t="inlineStr">
        <is>
          <t>https://medium.com/superfluid-blog/superfluid-raises-9m-to-build-the-real-time-finance-economy-988ed538def1</t>
        </is>
      </c>
      <c r="B10" s="12" t="inlineStr">
        <is>
          <t>oorspronkelijke aankondiging of persbericht</t>
        </is>
      </c>
      <c r="C10" s="6" t="n">
        <v>4</v>
      </c>
      <c r="D10" s="9" t="n">
        <v>46249</v>
      </c>
      <c r="E10" s="12" t="inlineStr">
        <is>
          <t>Superfluid — 2021-07-13</t>
        </is>
      </c>
    </row>
    <row r="11">
      <c r="A11" s="7" t="inlineStr">
        <is>
          <t>https://medium.com/walletconnect/walletconnect-raises-11m-to-build-out-the-messaging-layer-for-web3-740a185bf861</t>
        </is>
      </c>
      <c r="B11" s="12" t="inlineStr">
        <is>
          <t>oorspronkelijke aankondiging of persbericht</t>
        </is>
      </c>
      <c r="C11" s="6" t="n">
        <v>4</v>
      </c>
      <c r="D11" s="9" t="n">
        <v>46249</v>
      </c>
      <c r="E11" s="12" t="inlineStr">
        <is>
          <t>WalletConnect (Reown) — 2022-03-08</t>
        </is>
      </c>
    </row>
    <row r="12">
      <c r="A12" s="7" t="inlineStr">
        <is>
          <t>https://mirror.xyz/ratedw3b.eth/d27q8fhLvfW1a_cwJf8S4rjrOT2_kX3mmMrTmMvB4wc</t>
        </is>
      </c>
      <c r="B12" s="12" t="inlineStr">
        <is>
          <t>oorspronkelijke aankondiging of persbericht</t>
        </is>
      </c>
      <c r="C12" s="6" t="n">
        <v>4</v>
      </c>
      <c r="D12" s="9" t="n">
        <v>46249</v>
      </c>
      <c r="E12" s="12" t="inlineStr">
        <is>
          <t>Rated — 2022-09-08</t>
        </is>
      </c>
    </row>
    <row r="13">
      <c r="A13" s="7" t="inlineStr">
        <is>
          <t>https://siliconangle.com/2022/10/12/valory-raises-4m-unlock-software-driven-autonomy-blockchain-apps/</t>
        </is>
      </c>
      <c r="B13" s="12" t="inlineStr">
        <is>
          <t>oorspronkelijke aankondiging of persbericht</t>
        </is>
      </c>
      <c r="C13" s="6" t="n">
        <v>4</v>
      </c>
      <c r="D13" s="9" t="n">
        <v>46249</v>
      </c>
      <c r="E13" s="12" t="inlineStr">
        <is>
          <t>Valory — 2022-10-13</t>
        </is>
      </c>
    </row>
    <row r="14">
      <c r="A14" s="7" t="inlineStr">
        <is>
          <t>https://tech.eu/brief/institutional-investor-crypto-trading-platform-sheeldmarket-raises-10-million/</t>
        </is>
      </c>
      <c r="B14" s="12" t="inlineStr">
        <is>
          <t>oorspronkelijke aankondiging of persbericht</t>
        </is>
      </c>
      <c r="C14" s="6" t="n">
        <v>4</v>
      </c>
      <c r="D14" s="9" t="n">
        <v>46249</v>
      </c>
      <c r="E14" s="12" t="inlineStr">
        <is>
          <t>Aplo — 2021-10-12</t>
        </is>
      </c>
    </row>
    <row r="15">
      <c r="A15" s="7" t="inlineStr">
        <is>
          <t>https://techcrunch.com/2022/05/03/cheq-hopes-an-easy-to-use-app-for-stablecoins-will-appeal-to-inflation-wracked-countries/</t>
        </is>
      </c>
      <c r="B15" s="12" t="inlineStr">
        <is>
          <t>oorspronkelijke aankondiging of persbericht</t>
        </is>
      </c>
      <c r="C15" s="6" t="n">
        <v>4</v>
      </c>
      <c r="D15" s="9" t="n">
        <v>46249</v>
      </c>
      <c r="E15" s="12" t="inlineStr">
        <is>
          <t>Cheq — 2022-05-03</t>
        </is>
      </c>
    </row>
    <row r="16">
      <c r="A16" s="7" t="inlineStr">
        <is>
          <t>https://twitter.com/TheBlock__/status/1721799948893626393</t>
        </is>
      </c>
      <c r="B16" s="12" t="inlineStr">
        <is>
          <t>oorspronkelijke aankondiging of persbericht</t>
        </is>
      </c>
      <c r="C16" s="6" t="n">
        <v>4</v>
      </c>
      <c r="D16" s="9" t="n">
        <v>46249</v>
      </c>
      <c r="E16" s="12" t="inlineStr">
        <is>
          <t>Due — 2023-11-07</t>
        </is>
      </c>
    </row>
    <row r="17">
      <c r="A17" s="7" t="inlineStr">
        <is>
          <t>https://twitter.com/certorainc/status/1395765638765940739?s=21</t>
        </is>
      </c>
      <c r="B17" s="12" t="inlineStr">
        <is>
          <t>oorspronkelijke aankondiging of persbericht</t>
        </is>
      </c>
      <c r="C17" s="6" t="n">
        <v>4</v>
      </c>
      <c r="D17" s="9" t="n">
        <v>46249</v>
      </c>
      <c r="E17" s="12" t="inlineStr">
        <is>
          <t>Certora — 2021-05-22</t>
        </is>
      </c>
    </row>
    <row r="18">
      <c r="A18" s="7" t="inlineStr">
        <is>
          <t>https://twitter.com/fence_finance/status/1726843615794868510</t>
        </is>
      </c>
      <c r="B18" s="12" t="inlineStr">
        <is>
          <t>oorspronkelijke aankondiging of persbericht</t>
        </is>
      </c>
      <c r="C18" s="6" t="n">
        <v>4</v>
      </c>
      <c r="D18" s="9" t="n">
        <v>46249</v>
      </c>
      <c r="E18" s="12" t="inlineStr">
        <is>
          <t>Fence — 2023-11-20</t>
        </is>
      </c>
    </row>
    <row r="19">
      <c r="A19" s="7" t="inlineStr">
        <is>
          <t>https://twitter.com/ratedw3b/status/1707020071355425149</t>
        </is>
      </c>
      <c r="B19" s="12" t="inlineStr">
        <is>
          <t>oorspronkelijke aankondiging of persbericht</t>
        </is>
      </c>
      <c r="C19" s="6" t="n">
        <v>4</v>
      </c>
      <c r="D19" s="9" t="n">
        <v>46249</v>
      </c>
      <c r="E19" s="12" t="inlineStr">
        <is>
          <t>Rated — 2023-09-27</t>
        </is>
      </c>
    </row>
    <row r="20">
      <c r="A20" s="7" t="inlineStr">
        <is>
          <t>https://twitter.com/union_build/status/1725149230837190866</t>
        </is>
      </c>
      <c r="B20" s="12" t="inlineStr">
        <is>
          <t>oorspronkelijke aankondiging of persbericht</t>
        </is>
      </c>
      <c r="C20" s="6" t="n">
        <v>4</v>
      </c>
      <c r="D20" s="9" t="n">
        <v>46249</v>
      </c>
      <c r="E20" s="12" t="inlineStr">
        <is>
          <t>Union Labs — 2023-11-16</t>
        </is>
      </c>
    </row>
    <row r="21">
      <c r="A21" s="7" t="inlineStr">
        <is>
          <t>https://www.coindesk.com/business/2022/04/13/dfns-raises-135m-to-build-out-password-protection-for-crypto-wallets/</t>
        </is>
      </c>
      <c r="B21" s="12" t="inlineStr">
        <is>
          <t>oorspronkelijke aankondiging of persbericht</t>
        </is>
      </c>
      <c r="C21" s="6" t="n">
        <v>4</v>
      </c>
      <c r="D21" s="9" t="n">
        <v>46249</v>
      </c>
      <c r="E21" s="12" t="inlineStr">
        <is>
          <t>Dfns — 2022-04-17</t>
        </is>
      </c>
    </row>
    <row r="22">
      <c r="A22" s="7" t="inlineStr">
        <is>
          <t>https://www.coindesk.com/business/2023/06/21/binance-labs-coinfund-lead-10m-round-for-smart-contract-infrastructure-firm-neutron/</t>
        </is>
      </c>
      <c r="B22" s="12" t="inlineStr">
        <is>
          <t>oorspronkelijke aankondiging of persbericht</t>
        </is>
      </c>
      <c r="C22" s="6" t="n">
        <v>4</v>
      </c>
      <c r="D22" s="9" t="n">
        <v>46249</v>
      </c>
      <c r="E22" s="12" t="inlineStr">
        <is>
          <t>Neutron — 2023-06-21</t>
        </is>
      </c>
    </row>
    <row r="23">
      <c r="A23" s="7" t="inlineStr">
        <is>
          <t>https://www.coindesk.com/business/2024/08/01/crypto-lending-firm-morpho-bags-50m-in-funding-round-led-by-ribbit-capital/</t>
        </is>
      </c>
      <c r="B23" s="12" t="inlineStr">
        <is>
          <t>oorspronkelijke aankondiging of persbericht</t>
        </is>
      </c>
      <c r="C23" s="6" t="n">
        <v>4</v>
      </c>
      <c r="D23" s="9" t="n">
        <v>46249</v>
      </c>
      <c r="E23" s="12" t="inlineStr">
        <is>
          <t>Morpho — 2024-08-01</t>
        </is>
      </c>
    </row>
    <row r="24">
      <c r="A24" s="7" t="inlineStr">
        <is>
          <t>https://www.coindesk.com/markets/2018/03/07/messari-raises-seed-funding-for-ico-answer-to-edgar/</t>
        </is>
      </c>
      <c r="B24" s="12" t="inlineStr">
        <is>
          <t>oorspronkelijke aankondiging of persbericht</t>
        </is>
      </c>
      <c r="C24" s="6" t="n">
        <v>4</v>
      </c>
      <c r="D24" s="9" t="n">
        <v>46249</v>
      </c>
      <c r="E24" s="12" t="inlineStr">
        <is>
          <t>Messari — 2018-03-07</t>
        </is>
      </c>
    </row>
    <row r="25">
      <c r="A25" s="7" t="inlineStr">
        <is>
          <t>https://www.theblock.co/post/157089/a16z-and-variant-lead-18-million-round-into-defi-lending-protocol-morpho</t>
        </is>
      </c>
      <c r="B25" s="12" t="inlineStr">
        <is>
          <t>oorspronkelijke aankondiging of persbericht</t>
        </is>
      </c>
      <c r="C25" s="6" t="n">
        <v>4</v>
      </c>
      <c r="D25" s="9" t="n">
        <v>46249</v>
      </c>
      <c r="E25" s="12" t="inlineStr">
        <is>
          <t>Morpho — 2022-07-12</t>
        </is>
      </c>
    </row>
    <row r="26">
      <c r="A26" s="7" t="inlineStr">
        <is>
          <t>https://www.theblock.co/post/182729/solana-yield-manager-texture-raises-5-million-enters-private-beta</t>
        </is>
      </c>
      <c r="B26" s="12" t="inlineStr">
        <is>
          <t>oorspronkelijke aankondiging of persbericht</t>
        </is>
      </c>
      <c r="C26" s="6" t="n">
        <v>4</v>
      </c>
      <c r="D26" s="9" t="n">
        <v>46249</v>
      </c>
      <c r="E26" s="12" t="inlineStr">
        <is>
          <t>Texture — 2022-11-04</t>
        </is>
      </c>
    </row>
    <row r="27">
      <c r="A27" s="7" t="inlineStr">
        <is>
          <t>https://www.theblock.co/post/291730/ex-revolut-exec-raises-6-5-million-usd-hybrid-crypto-exchange-x10</t>
        </is>
      </c>
      <c r="B27" s="12" t="inlineStr">
        <is>
          <t>oorspronkelijke aankondiging of persbericht</t>
        </is>
      </c>
      <c r="C27" s="6" t="n">
        <v>4</v>
      </c>
      <c r="D27" s="9" t="n">
        <v>46249</v>
      </c>
      <c r="E27" s="12" t="inlineStr">
        <is>
          <t>X10 — 2024-04-30</t>
        </is>
      </c>
    </row>
    <row r="28">
      <c r="A28" s="7" t="inlineStr">
        <is>
          <t>https://x.com/Ryder_ID/status/1978773212260675814</t>
        </is>
      </c>
      <c r="B28" s="12" t="inlineStr">
        <is>
          <t>oorspronkelijke aankondiging of persbericht</t>
        </is>
      </c>
      <c r="C28" s="6" t="n">
        <v>4</v>
      </c>
      <c r="D28" s="9" t="n">
        <v>46249</v>
      </c>
      <c r="E28" s="12" t="inlineStr">
        <is>
          <t>Ryder — 2025-10-16</t>
        </is>
      </c>
    </row>
    <row r="29">
      <c r="A29" s="7" t="inlineStr">
        <is>
          <t>https://x.com/chainbound_/status/1828047583090016308</t>
        </is>
      </c>
      <c r="B29" s="12" t="inlineStr">
        <is>
          <t>oorspronkelijke aankondiging of persbericht</t>
        </is>
      </c>
      <c r="C29" s="6" t="n">
        <v>4</v>
      </c>
      <c r="D29" s="9" t="n">
        <v>46249</v>
      </c>
      <c r="E29" s="12" t="inlineStr">
        <is>
          <t>Chainbound (Bolt) — 2024-08-26</t>
        </is>
      </c>
    </row>
    <row r="30">
      <c r="A30" s="7" t="inlineStr">
        <is>
          <t>https://x.com/dfnsHQ/status/1879173512750928058</t>
        </is>
      </c>
      <c r="B30" s="12" t="inlineStr">
        <is>
          <t>oorspronkelijke aankondiging of persbericht</t>
        </is>
      </c>
      <c r="C30" s="6" t="n">
        <v>4</v>
      </c>
      <c r="D30" s="9" t="n">
        <v>46249</v>
      </c>
      <c r="E30" s="12" t="inlineStr">
        <is>
          <t>Dfns — 2025-01-14</t>
        </is>
      </c>
    </row>
    <row r="31">
      <c r="A31" s="7" t="inlineStr">
        <is>
          <t>https://x.com/due_network/status/1950469044710043943</t>
        </is>
      </c>
      <c r="B31" s="12" t="inlineStr">
        <is>
          <t>oorspronkelijke aankondiging of persbericht</t>
        </is>
      </c>
      <c r="C31" s="6" t="n">
        <v>4</v>
      </c>
      <c r="D31" s="9" t="n">
        <v>46249</v>
      </c>
      <c r="E31" s="12" t="inlineStr">
        <is>
          <t>Due — 2025-07-30</t>
        </is>
      </c>
    </row>
    <row r="32">
      <c r="A32" s="7" t="inlineStr">
        <is>
          <t>https://x.com/herd_eco/status/1886460827034902974</t>
        </is>
      </c>
      <c r="B32" s="12" t="inlineStr">
        <is>
          <t>oorspronkelijke aankondiging of persbericht</t>
        </is>
      </c>
      <c r="C32" s="6" t="n">
        <v>4</v>
      </c>
      <c r="D32" s="9" t="n">
        <v>46249</v>
      </c>
      <c r="E32" s="12" t="inlineStr">
        <is>
          <t>Herd — 2025-02-01</t>
        </is>
      </c>
    </row>
    <row r="33">
      <c r="A33" s="7" t="inlineStr">
        <is>
          <t>https://x.com/valantislabs/status/1859285814821388325</t>
        </is>
      </c>
      <c r="B33" s="12" t="inlineStr">
        <is>
          <t>oorspronkelijke aankondiging of persbericht</t>
        </is>
      </c>
      <c r="C33" s="6" t="n">
        <v>4</v>
      </c>
      <c r="D33" s="9" t="n">
        <v>46249</v>
      </c>
      <c r="E33" s="12" t="inlineStr">
        <is>
          <t>Valantis Labs — 2024-09-01</t>
        </is>
      </c>
    </row>
    <row r="34">
      <c r="A34" s="7" t="inlineStr">
        <is>
          <t>https://crypto-fundraising.info/funds/semantic-ventures/</t>
        </is>
      </c>
      <c r="B34" s="12" t="inlineStr">
        <is>
          <t>fondspagina aggregator (toont tien regels)</t>
        </is>
      </c>
      <c r="C34" s="6" t="n">
        <v>5</v>
      </c>
      <c r="D34" s="9" t="n">
        <v>46249</v>
      </c>
      <c r="E34" s="12" t="inlineStr">
        <is>
          <t>Semantic Ventures</t>
        </is>
      </c>
    </row>
    <row r="35">
      <c r="A35" s="7" t="inlineStr">
        <is>
          <t>https://crypto-fundraising.info/projects/aplo/</t>
        </is>
      </c>
      <c r="B35" s="12" t="inlineStr">
        <is>
          <t>aggregator crypto-fundraising.info</t>
        </is>
      </c>
      <c r="C35" s="6" t="n">
        <v>5</v>
      </c>
      <c r="D35" s="9" t="n">
        <v>46249</v>
      </c>
      <c r="E35" s="12" t="inlineStr">
        <is>
          <t>Aplo</t>
        </is>
      </c>
    </row>
    <row r="36">
      <c r="A36" s="7" t="inlineStr">
        <is>
          <t>https://crypto-fundraising.info/projects/async-art/</t>
        </is>
      </c>
      <c r="B36" s="12" t="inlineStr">
        <is>
          <t>aggregator crypto-fundraising.info</t>
        </is>
      </c>
      <c r="C36" s="6" t="n">
        <v>5</v>
      </c>
      <c r="D36" s="9" t="n">
        <v>46249</v>
      </c>
      <c r="E36" s="12" t="inlineStr">
        <is>
          <t>Async Art</t>
        </is>
      </c>
    </row>
    <row r="37">
      <c r="A37" s="7" t="inlineStr">
        <is>
          <t>https://crypto-fundraising.info/projects/babylon-finance/</t>
        </is>
      </c>
      <c r="B37" s="12" t="inlineStr">
        <is>
          <t>aggregator crypto-fundraising.info</t>
        </is>
      </c>
      <c r="C37" s="6" t="n">
        <v>5</v>
      </c>
      <c r="D37" s="9" t="n">
        <v>46249</v>
      </c>
      <c r="E37" s="12" t="inlineStr">
        <is>
          <t>Babylon Finance</t>
        </is>
      </c>
    </row>
    <row r="38">
      <c r="A38" s="7" t="inlineStr">
        <is>
          <t>https://crypto-fundraising.info/projects/centrifuge/</t>
        </is>
      </c>
      <c r="B38" s="12" t="inlineStr">
        <is>
          <t>aggregator crypto-fundraising.info</t>
        </is>
      </c>
      <c r="C38" s="6" t="n">
        <v>5</v>
      </c>
      <c r="D38" s="9" t="n">
        <v>46249</v>
      </c>
      <c r="E38" s="12" t="inlineStr">
        <is>
          <t>Centrifuge</t>
        </is>
      </c>
    </row>
    <row r="39">
      <c r="A39" s="7" t="inlineStr">
        <is>
          <t>https://crypto-fundraising.info/projects/certora/</t>
        </is>
      </c>
      <c r="B39" s="12" t="inlineStr">
        <is>
          <t>aggregator crypto-fundraising.info</t>
        </is>
      </c>
      <c r="C39" s="6" t="n">
        <v>5</v>
      </c>
      <c r="D39" s="9" t="n">
        <v>46249</v>
      </c>
      <c r="E39" s="12" t="inlineStr">
        <is>
          <t>Certora</t>
        </is>
      </c>
    </row>
    <row r="40">
      <c r="A40" s="7" t="inlineStr">
        <is>
          <t>https://crypto-fundraising.info/projects/chainbound-bolt/</t>
        </is>
      </c>
      <c r="B40" s="12" t="inlineStr">
        <is>
          <t>aggregator crypto-fundraising.info</t>
        </is>
      </c>
      <c r="C40" s="6" t="n">
        <v>5</v>
      </c>
      <c r="D40" s="9" t="n">
        <v>46249</v>
      </c>
      <c r="E40" s="12" t="inlineStr">
        <is>
          <t>Chainbound (Bolt)</t>
        </is>
      </c>
    </row>
    <row r="41">
      <c r="A41" s="7" t="inlineStr">
        <is>
          <t>https://crypto-fundraising.info/projects/cheq/</t>
        </is>
      </c>
      <c r="B41" s="12" t="inlineStr">
        <is>
          <t>aggregator crypto-fundraising.info</t>
        </is>
      </c>
      <c r="C41" s="6" t="n">
        <v>5</v>
      </c>
      <c r="D41" s="9" t="n">
        <v>46249</v>
      </c>
      <c r="E41" s="12" t="inlineStr">
        <is>
          <t>Cheq</t>
        </is>
      </c>
    </row>
    <row r="42">
      <c r="A42" s="7" t="inlineStr">
        <is>
          <t>https://crypto-fundraising.info/projects/dfns/</t>
        </is>
      </c>
      <c r="B42" s="12" t="inlineStr">
        <is>
          <t>aggregator crypto-fundraising.info</t>
        </is>
      </c>
      <c r="C42" s="6" t="n">
        <v>5</v>
      </c>
      <c r="D42" s="9" t="n">
        <v>46249</v>
      </c>
      <c r="E42" s="12" t="inlineStr">
        <is>
          <t>Dfns</t>
        </is>
      </c>
    </row>
    <row r="43">
      <c r="A43" s="7" t="inlineStr">
        <is>
          <t>https://crypto-fundraising.info/projects/due/</t>
        </is>
      </c>
      <c r="B43" s="12" t="inlineStr">
        <is>
          <t>aggregator crypto-fundraising.info</t>
        </is>
      </c>
      <c r="C43" s="6" t="n">
        <v>5</v>
      </c>
      <c r="D43" s="9" t="n">
        <v>46249</v>
      </c>
      <c r="E43" s="12" t="inlineStr">
        <is>
          <t>Due</t>
        </is>
      </c>
    </row>
    <row r="44">
      <c r="A44" s="7" t="inlineStr">
        <is>
          <t>https://crypto-fundraising.info/projects/fence/</t>
        </is>
      </c>
      <c r="B44" s="12" t="inlineStr">
        <is>
          <t>aggregator crypto-fundraising.info</t>
        </is>
      </c>
      <c r="C44" s="6" t="n">
        <v>5</v>
      </c>
      <c r="D44" s="9" t="n">
        <v>46249</v>
      </c>
      <c r="E44" s="12" t="inlineStr">
        <is>
          <t>Fence</t>
        </is>
      </c>
    </row>
    <row r="45">
      <c r="A45" s="7" t="inlineStr">
        <is>
          <t>https://crypto-fundraising.info/projects/herd/</t>
        </is>
      </c>
      <c r="B45" s="12" t="inlineStr">
        <is>
          <t>aggregator crypto-fundraising.info</t>
        </is>
      </c>
      <c r="C45" s="6" t="n">
        <v>5</v>
      </c>
      <c r="D45" s="9" t="n">
        <v>46249</v>
      </c>
      <c r="E45" s="12" t="inlineStr">
        <is>
          <t>Herd</t>
        </is>
      </c>
    </row>
    <row r="46">
      <c r="A46" s="7" t="inlineStr">
        <is>
          <t>https://crypto-fundraising.info/projects/messari/</t>
        </is>
      </c>
      <c r="B46" s="12" t="inlineStr">
        <is>
          <t>aggregator crypto-fundraising.info</t>
        </is>
      </c>
      <c r="C46" s="6" t="n">
        <v>5</v>
      </c>
      <c r="D46" s="9" t="n">
        <v>46249</v>
      </c>
      <c r="E46" s="12" t="inlineStr">
        <is>
          <t>Messari</t>
        </is>
      </c>
    </row>
    <row r="47">
      <c r="A47" s="7" t="inlineStr">
        <is>
          <t>https://crypto-fundraising.info/projects/morpho/</t>
        </is>
      </c>
      <c r="B47" s="12" t="inlineStr">
        <is>
          <t>aggregator crypto-fundraising.info</t>
        </is>
      </c>
      <c r="C47" s="6" t="n">
        <v>5</v>
      </c>
      <c r="D47" s="9" t="n">
        <v>46249</v>
      </c>
      <c r="E47" s="12" t="inlineStr">
        <is>
          <t>Morpho</t>
        </is>
      </c>
    </row>
    <row r="48">
      <c r="A48" s="7" t="inlineStr">
        <is>
          <t>https://crypto-fundraising.info/projects/neutron/</t>
        </is>
      </c>
      <c r="B48" s="12" t="inlineStr">
        <is>
          <t>aggregator crypto-fundraising.info</t>
        </is>
      </c>
      <c r="C48" s="6" t="n">
        <v>5</v>
      </c>
      <c r="D48" s="9" t="n">
        <v>46249</v>
      </c>
      <c r="E48" s="12" t="inlineStr">
        <is>
          <t>Neutron</t>
        </is>
      </c>
    </row>
    <row r="49">
      <c r="A49" s="7" t="inlineStr">
        <is>
          <t>https://crypto-fundraising.info/projects/paladin/</t>
        </is>
      </c>
      <c r="B49" s="12" t="inlineStr">
        <is>
          <t>aggregator crypto-fundraising.info</t>
        </is>
      </c>
      <c r="C49" s="6" t="n">
        <v>5</v>
      </c>
      <c r="D49" s="9" t="n">
        <v>46249</v>
      </c>
      <c r="E49" s="12" t="inlineStr">
        <is>
          <t>Paladin</t>
        </is>
      </c>
    </row>
    <row r="50">
      <c r="A50" s="7" t="inlineStr">
        <is>
          <t>https://crypto-fundraising.info/projects/rated/</t>
        </is>
      </c>
      <c r="B50" s="12" t="inlineStr">
        <is>
          <t>aggregator crypto-fundraising.info</t>
        </is>
      </c>
      <c r="C50" s="6" t="n">
        <v>5</v>
      </c>
      <c r="D50" s="9" t="n">
        <v>46249</v>
      </c>
      <c r="E50" s="12" t="inlineStr">
        <is>
          <t>Rated</t>
        </is>
      </c>
    </row>
    <row r="51">
      <c r="A51" s="7" t="inlineStr">
        <is>
          <t>https://crypto-fundraising.info/projects/ryder/</t>
        </is>
      </c>
      <c r="B51" s="12" t="inlineStr">
        <is>
          <t>aggregator crypto-fundraising.info</t>
        </is>
      </c>
      <c r="C51" s="6" t="n">
        <v>5</v>
      </c>
      <c r="D51" s="9" t="n">
        <v>46249</v>
      </c>
      <c r="E51" s="12" t="inlineStr">
        <is>
          <t>Ryder</t>
        </is>
      </c>
    </row>
    <row r="52">
      <c r="A52" s="7" t="inlineStr">
        <is>
          <t>https://crypto-fundraising.info/projects/sorare/</t>
        </is>
      </c>
      <c r="B52" s="12" t="inlineStr">
        <is>
          <t>aggregator crypto-fundraising.info</t>
        </is>
      </c>
      <c r="C52" s="6" t="n">
        <v>5</v>
      </c>
      <c r="D52" s="9" t="n">
        <v>46249</v>
      </c>
      <c r="E52" s="12" t="inlineStr">
        <is>
          <t>Sorare</t>
        </is>
      </c>
    </row>
    <row r="53">
      <c r="A53" s="7" t="inlineStr">
        <is>
          <t>https://crypto-fundraising.info/projects/starknet/</t>
        </is>
      </c>
      <c r="B53" s="12" t="inlineStr">
        <is>
          <t>aggregator crypto-fundraising.info</t>
        </is>
      </c>
      <c r="C53" s="6" t="n">
        <v>5</v>
      </c>
      <c r="D53" s="9" t="n">
        <v>46249</v>
      </c>
      <c r="E53" s="12" t="inlineStr">
        <is>
          <t>StarkNet</t>
        </is>
      </c>
    </row>
    <row r="54">
      <c r="A54" s="7" t="inlineStr">
        <is>
          <t>https://crypto-fundraising.info/projects/superfluid/</t>
        </is>
      </c>
      <c r="B54" s="12" t="inlineStr">
        <is>
          <t>aggregator crypto-fundraising.info</t>
        </is>
      </c>
      <c r="C54" s="6" t="n">
        <v>5</v>
      </c>
      <c r="D54" s="9" t="n">
        <v>46249</v>
      </c>
      <c r="E54" s="12" t="inlineStr">
        <is>
          <t>Superfluid</t>
        </is>
      </c>
    </row>
    <row r="55">
      <c r="A55" s="7" t="inlineStr">
        <is>
          <t>https://crypto-fundraising.info/projects/texture/</t>
        </is>
      </c>
      <c r="B55" s="12" t="inlineStr">
        <is>
          <t>aggregator crypto-fundraising.info</t>
        </is>
      </c>
      <c r="C55" s="6" t="n">
        <v>5</v>
      </c>
      <c r="D55" s="9" t="n">
        <v>46249</v>
      </c>
      <c r="E55" s="12" t="inlineStr">
        <is>
          <t>Texture</t>
        </is>
      </c>
    </row>
    <row r="56">
      <c r="A56" s="7" t="inlineStr">
        <is>
          <t>https://crypto-fundraising.info/projects/union-labs/</t>
        </is>
      </c>
      <c r="B56" s="12" t="inlineStr">
        <is>
          <t>aggregator crypto-fundraising.info</t>
        </is>
      </c>
      <c r="C56" s="6" t="n">
        <v>5</v>
      </c>
      <c r="D56" s="9" t="n">
        <v>46249</v>
      </c>
      <c r="E56" s="12" t="inlineStr">
        <is>
          <t>Union Labs</t>
        </is>
      </c>
    </row>
    <row r="57">
      <c r="A57" s="7" t="inlineStr">
        <is>
          <t>https://crypto-fundraising.info/projects/valantis-labs/</t>
        </is>
      </c>
      <c r="B57" s="12" t="inlineStr">
        <is>
          <t>aggregator crypto-fundraising.info</t>
        </is>
      </c>
      <c r="C57" s="6" t="n">
        <v>5</v>
      </c>
      <c r="D57" s="9" t="n">
        <v>46249</v>
      </c>
      <c r="E57" s="12" t="inlineStr">
        <is>
          <t>Valantis Labs</t>
        </is>
      </c>
    </row>
    <row r="58">
      <c r="A58" s="7" t="inlineStr">
        <is>
          <t>https://crypto-fundraising.info/projects/valory/</t>
        </is>
      </c>
      <c r="B58" s="12" t="inlineStr">
        <is>
          <t>aggregator crypto-fundraising.info</t>
        </is>
      </c>
      <c r="C58" s="6" t="n">
        <v>5</v>
      </c>
      <c r="D58" s="9" t="n">
        <v>46249</v>
      </c>
      <c r="E58" s="12" t="inlineStr">
        <is>
          <t>Valory</t>
        </is>
      </c>
    </row>
    <row r="59">
      <c r="A59" s="7" t="inlineStr">
        <is>
          <t>https://crypto-fundraising.info/projects/walletconnect/</t>
        </is>
      </c>
      <c r="B59" s="12" t="inlineStr">
        <is>
          <t>aggregator crypto-fundraising.info</t>
        </is>
      </c>
      <c r="C59" s="6" t="n">
        <v>5</v>
      </c>
      <c r="D59" s="9" t="n">
        <v>46249</v>
      </c>
      <c r="E59" s="12" t="inlineStr">
        <is>
          <t>WalletConnect (Reown)</t>
        </is>
      </c>
    </row>
    <row r="60">
      <c r="A60" s="7" t="inlineStr">
        <is>
          <t>https://crypto-fundraising.info/projects/x10/</t>
        </is>
      </c>
      <c r="B60" s="12" t="inlineStr">
        <is>
          <t>aggregator crypto-fundraising.info</t>
        </is>
      </c>
      <c r="C60" s="6" t="n">
        <v>5</v>
      </c>
      <c r="D60" s="9" t="n">
        <v>46249</v>
      </c>
      <c r="E60" s="12" t="inlineStr">
        <is>
          <t>X10</t>
        </is>
      </c>
    </row>
    <row r="61">
      <c r="A61" s="7" t="inlineStr">
        <is>
          <t>https://cryptorank.io/funds/semantic-ventures/portfolio</t>
        </is>
      </c>
      <c r="B61" s="12" t="inlineStr">
        <is>
          <t>aggregator CryptoRank (controlelijst)</t>
        </is>
      </c>
      <c r="C61" s="6" t="n">
        <v>7</v>
      </c>
      <c r="D61" s="9" t="n">
        <v>46249</v>
      </c>
      <c r="E61" s="12" t="inlineStr">
        <is>
          <t>Semantic Ventures</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s>
  <pageMargins left="0.75" right="0.75" top="1" bottom="1" header="0.5" footer="0.5"/>
  <tableParts count="1">
    <tablePart xmlns:r="http://schemas.openxmlformats.org/officeDocument/2006/relationships" r:id="rId61"/>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484a3226c41eca78</t>
        </is>
      </c>
      <c r="B2" s="5" t="inlineStr">
        <is>
          <t>semantic-ventures</t>
        </is>
      </c>
      <c r="C2" s="5" t="inlineStr">
        <is>
          <t>X10</t>
        </is>
      </c>
      <c r="D2" s="9" t="n">
        <v>45412</v>
      </c>
      <c r="E2" s="12" t="inlineStr">
        <is>
          <t>round_type, valuation_usd</t>
        </is>
      </c>
      <c r="F2" s="12" t="inlineStr">
        <is>
          <t>Rondepagina en JSON-LD van crypto-fundraising.info gelezen; Details-link gevolgd waar aanwezig.</t>
        </is>
      </c>
      <c r="G2" s="7" t="inlineStr">
        <is>
          <t>https://crypto-fundraising.info/projects/x10/</t>
        </is>
      </c>
    </row>
    <row r="3">
      <c r="A3" s="5" t="inlineStr">
        <is>
          <t>c517bf4863684087</t>
        </is>
      </c>
      <c r="B3" s="5" t="inlineStr">
        <is>
          <t>semantic-ventures</t>
        </is>
      </c>
      <c r="C3" s="5" t="inlineStr">
        <is>
          <t>Neutron</t>
        </is>
      </c>
      <c r="D3" s="9" t="n">
        <v>45098</v>
      </c>
      <c r="E3" s="12" t="inlineStr">
        <is>
          <t>round_type</t>
        </is>
      </c>
      <c r="F3" s="12" t="inlineStr">
        <is>
          <t>Rondepagina en JSON-LD van crypto-fundraising.info gelezen; Details-link gevolgd waar aanwezig.</t>
        </is>
      </c>
      <c r="G3" s="7" t="inlineStr">
        <is>
          <t>https://crypto-fundraising.info/projects/neutron/</t>
        </is>
      </c>
    </row>
    <row r="4">
      <c r="A4" s="5" t="inlineStr">
        <is>
          <t>db5a5212ce5f688a</t>
        </is>
      </c>
      <c r="B4" s="5" t="inlineStr">
        <is>
          <t>semantic-ventures</t>
        </is>
      </c>
      <c r="C4" s="5" t="inlineStr">
        <is>
          <t>Texture</t>
        </is>
      </c>
      <c r="D4" s="9" t="n">
        <v>44869</v>
      </c>
      <c r="E4" s="12" t="inlineStr">
        <is>
          <t>round_type, valuation_usd</t>
        </is>
      </c>
      <c r="F4" s="12" t="inlineStr">
        <is>
          <t>Rondepagina en JSON-LD van crypto-fundraising.info gelezen; Details-link gevolgd waar aanwezig.</t>
        </is>
      </c>
      <c r="G4" s="7" t="inlineStr">
        <is>
          <t>https://crypto-fundraising.info/projects/texture/</t>
        </is>
      </c>
    </row>
    <row r="5">
      <c r="A5" s="5" t="inlineStr">
        <is>
          <t>961e026d095eb223</t>
        </is>
      </c>
      <c r="B5" s="5" t="inlineStr">
        <is>
          <t>semantic-ventures</t>
        </is>
      </c>
      <c r="C5" s="5" t="inlineStr">
        <is>
          <t>Centrifuge</t>
        </is>
      </c>
      <c r="D5" s="9" t="n">
        <v>43767</v>
      </c>
      <c r="E5" s="12" t="inlineStr">
        <is>
          <t>round_type, valuation_usd</t>
        </is>
      </c>
      <c r="F5" s="12" t="inlineStr">
        <is>
          <t>Rondepagina en JSON-LD van crypto-fundraising.info gelezen; Details-link gevolgd waar aanwezig.</t>
        </is>
      </c>
      <c r="G5" s="7" t="inlineStr">
        <is>
          <t>https://crypto-fundraising.info/projects/centrifuge/</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s>
  <pageMargins left="0.75" right="0.75" top="1" bottom="1" header="0.5" footer="0.5"/>
  <tableParts count="1">
    <tablePart xmlns:r="http://schemas.openxmlformats.org/officeDocument/2006/relationships" r:id="rId5"/>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semantic-ventures</t>
        </is>
      </c>
      <c r="B2" s="5" t="inlineStr">
        <is>
          <t>Semantic Ventures</t>
        </is>
      </c>
      <c r="C2" s="5" t="inlineStr">
        <is>
          <t>semantic-ventures</t>
        </is>
      </c>
      <c r="D2" s="12" t="inlineStr">
        <is>
          <t>Semantic Ventures, Semantic</t>
        </is>
      </c>
      <c r="E2" s="12" t="inlineStr">
        <is>
          <t>Semantic Ventures</t>
        </is>
      </c>
      <c r="F2" s="12" t="inlineStr">
        <is>
          <t>Eén fondspagina; geen tweede slug.</t>
        </is>
      </c>
      <c r="G2" s="7" t="inlineStr">
        <is>
          <t>https://www.semantic.vc/</t>
        </is>
      </c>
      <c r="H2" s="7" t="inlineStr">
        <is>
          <t>https://cryptorank.io/funds/semantic-ventures/portfolio</t>
        </is>
      </c>
    </row>
  </sheetData>
  <hyperlinks>
    <hyperlink xmlns:r="http://schemas.openxmlformats.org/officeDocument/2006/relationships" ref="G2" r:id="rId1"/>
    <hyperlink xmlns:r="http://schemas.openxmlformats.org/officeDocument/2006/relationships" ref="H2" r:id="rId2"/>
  </hyperlinks>
  <pageMargins left="0.75" right="0.75" top="1" bottom="1" header="0.5" footer="0.5"/>
  <tableParts count="1">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2026-08-15T14:24:08Z</dcterms:created>
  <dcterms:modified xsi:type="dcterms:W3CDTF">2026-08-15T14:24:08Z</dcterms:modified>
</cp:coreProperties>
</file>